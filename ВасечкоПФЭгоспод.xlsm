
<file path=[Content_Types].xml><?xml version="1.0" encoding="utf-8"?>
<Types xmlns="http://schemas.openxmlformats.org/package/2006/content-types">
  <Default Extension="bin" ContentType="application/vnd.openxmlformats-officedocument.oleOb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asec\Desktop\"/>
    </mc:Choice>
  </mc:AlternateContent>
  <xr:revisionPtr revIDLastSave="0" documentId="13_ncr:1_{BB342D5E-B464-4685-BB17-AC636BC4633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Лист3" sheetId="4" r:id="rId2"/>
    <sheet name="Лист2" sheetId="3" r:id="rId3"/>
    <sheet name="Лист1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1" l="1"/>
  <c r="I30" i="1" s="1"/>
  <c r="I24" i="1"/>
  <c r="I23" i="1"/>
  <c r="F20" i="1"/>
  <c r="E17" i="1"/>
  <c r="F14" i="1"/>
  <c r="C21" i="1"/>
  <c r="B21" i="1"/>
  <c r="C13" i="1"/>
  <c r="X4" i="4"/>
  <c r="V4" i="4"/>
  <c r="M2" i="3"/>
  <c r="U4" i="2"/>
  <c r="S4" i="2"/>
  <c r="H17" i="1" l="1"/>
  <c r="G17" i="1"/>
  <c r="F17" i="1"/>
  <c r="K17" i="1"/>
  <c r="L17" i="1"/>
  <c r="M17" i="1"/>
  <c r="N17" i="1"/>
  <c r="O17" i="1"/>
  <c r="J17" i="1"/>
  <c r="K16" i="1"/>
  <c r="L16" i="1"/>
  <c r="M16" i="1"/>
  <c r="N16" i="1"/>
  <c r="O16" i="1"/>
  <c r="J16" i="1"/>
  <c r="N15" i="1"/>
  <c r="K15" i="1"/>
  <c r="L15" i="1"/>
  <c r="M15" i="1"/>
  <c r="O15" i="1"/>
  <c r="J15" i="1"/>
  <c r="O14" i="1"/>
  <c r="N14" i="1"/>
  <c r="K14" i="1"/>
  <c r="L14" i="1"/>
  <c r="M14" i="1"/>
  <c r="J14" i="1"/>
  <c r="H14" i="1" l="1"/>
  <c r="G14" i="1"/>
  <c r="I27" i="1" s="1"/>
  <c r="H27" i="1"/>
  <c r="E14" i="1"/>
  <c r="C16" i="1"/>
  <c r="C14" i="1"/>
  <c r="C15" i="1"/>
  <c r="O7" i="1"/>
  <c r="O6" i="1"/>
  <c r="O5" i="1"/>
  <c r="O4" i="1"/>
  <c r="B27" i="1" l="1"/>
  <c r="G27" i="1"/>
  <c r="C23" i="1"/>
  <c r="B24" i="1"/>
  <c r="B30" i="1" s="1"/>
  <c r="C24" i="1"/>
  <c r="B23" i="1"/>
  <c r="B29" i="1" s="1"/>
  <c r="C22" i="1"/>
  <c r="B22" i="1"/>
  <c r="B28" i="1" s="1"/>
</calcChain>
</file>

<file path=xl/sharedStrings.xml><?xml version="1.0" encoding="utf-8"?>
<sst xmlns="http://schemas.openxmlformats.org/spreadsheetml/2006/main" count="317" uniqueCount="306">
  <si>
    <t>1</t>
  </si>
  <si>
    <t>Опыты</t>
  </si>
  <si>
    <t>j</t>
  </si>
  <si>
    <r>
      <t>x</t>
    </r>
    <r>
      <rPr>
        <vertAlign val="subscript"/>
        <sz val="13"/>
        <color theme="1"/>
        <rFont val="Times New Roman"/>
        <family val="1"/>
        <charset val="204"/>
      </rPr>
      <t>0</t>
    </r>
  </si>
  <si>
    <t>Переменная состояния</t>
  </si>
  <si>
    <r>
      <t>x</t>
    </r>
    <r>
      <rPr>
        <vertAlign val="subscript"/>
        <sz val="13"/>
        <color theme="1"/>
        <rFont val="Times New Roman"/>
        <family val="1"/>
        <charset val="204"/>
      </rPr>
      <t>1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</si>
  <si>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</si>
  <si>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1</t>
    </r>
    <r>
      <rPr>
        <sz val="13"/>
        <color theme="1"/>
        <rFont val="Times New Roman"/>
        <family val="1"/>
        <charset val="204"/>
      </rP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</si>
  <si>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y</t>
    </r>
    <r>
      <rPr>
        <vertAlign val="subscript"/>
        <sz val="13"/>
        <color theme="1"/>
        <rFont val="Times New Roman"/>
        <family val="1"/>
        <charset val="204"/>
      </rPr>
      <t>j1</t>
    </r>
  </si>
  <si>
    <r>
      <t>y</t>
    </r>
    <r>
      <rPr>
        <vertAlign val="subscript"/>
        <sz val="13"/>
        <color theme="1"/>
        <rFont val="Times New Roman"/>
        <family val="1"/>
        <charset val="204"/>
      </rPr>
      <t>j2</t>
    </r>
  </si>
  <si>
    <r>
      <t>y</t>
    </r>
    <r>
      <rPr>
        <vertAlign val="subscript"/>
        <sz val="13"/>
        <color theme="1"/>
        <rFont val="Times New Roman"/>
        <family val="1"/>
        <charset val="204"/>
      </rPr>
      <t>j3</t>
    </r>
  </si>
  <si>
    <r>
      <t>y</t>
    </r>
    <r>
      <rPr>
        <vertAlign val="subscript"/>
        <sz val="13"/>
        <color theme="1"/>
        <rFont val="Times New Roman"/>
        <family val="1"/>
        <charset val="204"/>
      </rPr>
      <t>j4</t>
    </r>
  </si>
  <si>
    <r>
      <t>y</t>
    </r>
    <r>
      <rPr>
        <vertAlign val="subscript"/>
        <sz val="13"/>
        <color theme="1"/>
        <rFont val="Times New Roman"/>
        <family val="1"/>
        <charset val="204"/>
      </rPr>
      <t>j5</t>
    </r>
  </si>
  <si>
    <r>
      <t>y</t>
    </r>
    <r>
      <rPr>
        <vertAlign val="subscript"/>
        <sz val="13"/>
        <color theme="1"/>
        <rFont val="Times New Roman"/>
        <family val="1"/>
        <charset val="204"/>
      </rPr>
      <t>j6</t>
    </r>
  </si>
  <si>
    <t>Опыты(N)</t>
  </si>
  <si>
    <t>Столбцы(m)</t>
  </si>
  <si>
    <t>Y1cpj</t>
  </si>
  <si>
    <t>сумма1</t>
  </si>
  <si>
    <t>сумма2</t>
  </si>
  <si>
    <t>сумма3</t>
  </si>
  <si>
    <t>сумма4</t>
  </si>
  <si>
    <t>Y2cpj</t>
  </si>
  <si>
    <t>Y3cpj</t>
  </si>
  <si>
    <t>Y4cpj</t>
  </si>
  <si>
    <t>b0</t>
  </si>
  <si>
    <t>b1</t>
  </si>
  <si>
    <t>b2</t>
  </si>
  <si>
    <t>b12</t>
  </si>
  <si>
    <t>DJ</t>
  </si>
  <si>
    <t>(Yjk-Yj)^2</t>
  </si>
  <si>
    <t>Y(3)</t>
  </si>
  <si>
    <t>Y(4)</t>
  </si>
  <si>
    <t>Yрас</t>
  </si>
  <si>
    <t>k1</t>
  </si>
  <si>
    <t>k2</t>
  </si>
  <si>
    <t>Yтаб</t>
  </si>
  <si>
    <r>
      <t xml:space="preserve">ошибка </t>
    </r>
    <r>
      <rPr>
        <sz val="11"/>
        <color theme="1"/>
        <rFont val="Calibri"/>
        <family val="2"/>
        <charset val="204"/>
      </rPr>
      <t>σ0^2</t>
    </r>
  </si>
  <si>
    <t>0.9985</t>
  </si>
  <si>
    <t>0.9750</t>
  </si>
  <si>
    <t>0.9392</t>
  </si>
  <si>
    <t>0.9057</t>
  </si>
  <si>
    <t>0.8584</t>
  </si>
  <si>
    <t>0.8534</t>
  </si>
  <si>
    <t>0.8332</t>
  </si>
  <si>
    <t>0.8010</t>
  </si>
  <si>
    <t>0.7880</t>
  </si>
  <si>
    <t>0.7341</t>
  </si>
  <si>
    <t>0.6602</t>
  </si>
  <si>
    <t>0.5000</t>
  </si>
  <si>
    <t>0.5669</t>
  </si>
  <si>
    <t>0.8709</t>
  </si>
  <si>
    <t>0.7977</t>
  </si>
  <si>
    <t>0.7457</t>
  </si>
  <si>
    <t>0.7071</t>
  </si>
  <si>
    <t>0.6771</t>
  </si>
  <si>
    <t>0.6530</t>
  </si>
  <si>
    <t>0.6333</t>
  </si>
  <si>
    <t>0.6167</t>
  </si>
  <si>
    <t>0.6025</t>
  </si>
  <si>
    <t>0.4748</t>
  </si>
  <si>
    <t>0.4031</t>
  </si>
  <si>
    <t>0.3333</t>
  </si>
  <si>
    <t>0.9065</t>
  </si>
  <si>
    <t>0.7679</t>
  </si>
  <si>
    <t>0.6841</t>
  </si>
  <si>
    <t>0.6287</t>
  </si>
  <si>
    <t>0.5895</t>
  </si>
  <si>
    <t>0.5598</t>
  </si>
  <si>
    <t>0.5017</t>
  </si>
  <si>
    <t>0.4884</t>
  </si>
  <si>
    <t>0.4366</t>
  </si>
  <si>
    <t>0.3720</t>
  </si>
  <si>
    <t>0.3093</t>
  </si>
  <si>
    <t>0.2500</t>
  </si>
  <si>
    <t>0.8412</t>
  </si>
  <si>
    <t>0.6838</t>
  </si>
  <si>
    <t>0.5981</t>
  </si>
  <si>
    <t>0.5440</t>
  </si>
  <si>
    <t>0.5063</t>
  </si>
  <si>
    <t>0.4783</t>
  </si>
  <si>
    <t>0.4564</t>
  </si>
  <si>
    <t>0.4387</t>
  </si>
  <si>
    <t>0.4241</t>
  </si>
  <si>
    <t>0.4118</t>
  </si>
  <si>
    <t>0.3645</t>
  </si>
  <si>
    <t>0.2513</t>
  </si>
  <si>
    <t>0.2000</t>
  </si>
  <si>
    <t>0.7808</t>
  </si>
  <si>
    <t>0.6161</t>
  </si>
  <si>
    <t>0.5321</t>
  </si>
  <si>
    <t>0.4803</t>
  </si>
  <si>
    <t>0.4447</t>
  </si>
  <si>
    <t>0.4184</t>
  </si>
  <si>
    <t>0.3980</t>
  </si>
  <si>
    <t>0.3817</t>
  </si>
  <si>
    <t>0.3682</t>
  </si>
  <si>
    <t>0.3568</t>
  </si>
  <si>
    <t>0.2612</t>
  </si>
  <si>
    <t>0.2119</t>
  </si>
  <si>
    <t>0.1667</t>
  </si>
  <si>
    <t>0.7271</t>
  </si>
  <si>
    <t>0.5612</t>
  </si>
  <si>
    <t>0.4800</t>
  </si>
  <si>
    <t>0.4307</t>
  </si>
  <si>
    <t>0.3907</t>
  </si>
  <si>
    <t>0.3726</t>
  </si>
  <si>
    <t>0.3384</t>
  </si>
  <si>
    <t>0.3254</t>
  </si>
  <si>
    <t>0.3154</t>
  </si>
  <si>
    <t>0.2756</t>
  </si>
  <si>
    <t>0.22T/</t>
  </si>
  <si>
    <t>0.1833</t>
  </si>
  <si>
    <t>0.1429</t>
  </si>
  <si>
    <t>0.6790</t>
  </si>
  <si>
    <t>0.5157</t>
  </si>
  <si>
    <t>0.4377</t>
  </si>
  <si>
    <t>0.3910</t>
  </si>
  <si>
    <t>0.3595</t>
  </si>
  <si>
    <t>0.3362</t>
  </si>
  <si>
    <t>0.3043</t>
  </si>
  <si>
    <t>0.2926</t>
  </si>
  <si>
    <t>0.2829</t>
  </si>
  <si>
    <t>0.2462</t>
  </si>
  <si>
    <t>0.1616</t>
  </si>
  <si>
    <t>0.1250</t>
  </si>
  <si>
    <t>0.6385</t>
  </si>
  <si>
    <t>0.4775</t>
  </si>
  <si>
    <t>0.4027</t>
  </si>
  <si>
    <t>0.3584</t>
  </si>
  <si>
    <t>0.3286</t>
  </si>
  <si>
    <t>0.3067</t>
  </si>
  <si>
    <t>0.2708</t>
  </si>
  <si>
    <t>0.2659</t>
  </si>
  <si>
    <t>0.2568</t>
  </si>
  <si>
    <t>0.2226</t>
  </si>
  <si>
    <t>0.1820</t>
  </si>
  <si>
    <t>0.1446</t>
  </si>
  <si>
    <t>0.1111</t>
  </si>
  <si>
    <t>0.6020</t>
  </si>
  <si>
    <t>0.4450</t>
  </si>
  <si>
    <t>0.3733</t>
  </si>
  <si>
    <t>0.3311</t>
  </si>
  <si>
    <t>0.3029</t>
  </si>
  <si>
    <t>0.2823</t>
  </si>
  <si>
    <t>0.2666</t>
  </si>
  <si>
    <t>0.2439</t>
  </si>
  <si>
    <t>0.2353</t>
  </si>
  <si>
    <t>0.1655</t>
  </si>
  <si>
    <t>0.1308</t>
  </si>
  <si>
    <t>0.3924</t>
  </si>
  <si>
    <t>0.3264</t>
  </si>
  <si>
    <t>0.2880</t>
  </si>
  <si>
    <t>0.2624</t>
  </si>
  <si>
    <t>0.2299</t>
  </si>
  <si>
    <t>0.2187</t>
  </si>
  <si>
    <t>0.2098</t>
  </si>
  <si>
    <t>0.2020</t>
  </si>
  <si>
    <t>0.1737</t>
  </si>
  <si>
    <t>0.1403</t>
  </si>
  <si>
    <t>0.1100</t>
  </si>
  <si>
    <t>0.0833</t>
  </si>
  <si>
    <t>0.4709</t>
  </si>
  <si>
    <t>0.3346</t>
  </si>
  <si>
    <t>0.2758</t>
  </si>
  <si>
    <t>0.2419</t>
  </si>
  <si>
    <t>0.2195</t>
  </si>
  <si>
    <t>0.2034</t>
  </si>
  <si>
    <t>0.1911</t>
  </si>
  <si>
    <t>0.1815</t>
  </si>
  <si>
    <t>0.1736</t>
  </si>
  <si>
    <t>0.1671</t>
  </si>
  <si>
    <t>0.1144</t>
  </si>
  <si>
    <t>0.0889</t>
  </si>
  <si>
    <t>0.0677</t>
  </si>
  <si>
    <t>0.3834</t>
  </si>
  <si>
    <t>0.2705</t>
  </si>
  <si>
    <t>0.2205</t>
  </si>
  <si>
    <t>0.1921</t>
  </si>
  <si>
    <t>0.1735</t>
  </si>
  <si>
    <t>0.1602</t>
  </si>
  <si>
    <t>0Л501</t>
  </si>
  <si>
    <t>0.1422</t>
  </si>
  <si>
    <t>0.1357</t>
  </si>
  <si>
    <t>0.1303</t>
  </si>
  <si>
    <t>0.1108</t>
  </si>
  <si>
    <t>0.0879</t>
  </si>
  <si>
    <t>0.0675</t>
  </si>
  <si>
    <t>0.0500</t>
  </si>
  <si>
    <t>0.3434</t>
  </si>
  <si>
    <t>0.1907</t>
  </si>
  <si>
    <t>0.1656</t>
  </si>
  <si>
    <t>0.1493</t>
  </si>
  <si>
    <t>0.1374</t>
  </si>
  <si>
    <t>0.1286</t>
  </si>
  <si>
    <t>0.1216</t>
  </si>
  <si>
    <t>0.1160</t>
  </si>
  <si>
    <t>0.1113</t>
  </si>
  <si>
    <t>0.0942</t>
  </si>
  <si>
    <t>0.0743</t>
  </si>
  <si>
    <t>0.0567</t>
  </si>
  <si>
    <t>0.0417</t>
  </si>
  <si>
    <t>0.2929</t>
  </si>
  <si>
    <t>0.1980</t>
  </si>
  <si>
    <t>0.1593</t>
  </si>
  <si>
    <t>0.1237</t>
  </si>
  <si>
    <t>0.1137</t>
  </si>
  <si>
    <t>0.1061</t>
  </si>
  <si>
    <t>0.1002</t>
  </si>
  <si>
    <t>0.0958</t>
  </si>
  <si>
    <t>0.0921</t>
  </si>
  <si>
    <t>0.0771</t>
  </si>
  <si>
    <t>0.0504</t>
  </si>
  <si>
    <t>0.0457</t>
  </si>
  <si>
    <t>0.0333</t>
  </si>
  <si>
    <t>0.2370</t>
  </si>
  <si>
    <t>0.1576</t>
  </si>
  <si>
    <t>0.1259</t>
  </si>
  <si>
    <t>0.1082</t>
  </si>
  <si>
    <t>0.0968</t>
  </si>
  <si>
    <t>0.887</t>
  </si>
  <si>
    <t>0.0827</t>
  </si>
  <si>
    <t>0.0780</t>
  </si>
  <si>
    <t>0.0745</t>
  </si>
  <si>
    <t>0.0713</t>
  </si>
  <si>
    <t>0.0595</t>
  </si>
  <si>
    <t>0.0462</t>
  </si>
  <si>
    <t>0.0347</t>
  </si>
  <si>
    <t>0.0250</t>
  </si>
  <si>
    <t>0.1131</t>
  </si>
  <si>
    <t>0.0895</t>
  </si>
  <si>
    <t>0.0766</t>
  </si>
  <si>
    <t>0.0682</t>
  </si>
  <si>
    <t>0.0623</t>
  </si>
  <si>
    <t>0.0583</t>
  </si>
  <si>
    <t>0.0552</t>
  </si>
  <si>
    <t>0.0520</t>
  </si>
  <si>
    <t>0.0497</t>
  </si>
  <si>
    <t>0.0411</t>
  </si>
  <si>
    <t>0.0316</t>
  </si>
  <si>
    <t>0.0234</t>
  </si>
  <si>
    <t>0.0161</t>
  </si>
  <si>
    <t>0.0998</t>
  </si>
  <si>
    <t>0.0632</t>
  </si>
  <si>
    <t>0.0495</t>
  </si>
  <si>
    <t>0.0419</t>
  </si>
  <si>
    <t>0.0371</t>
  </si>
  <si>
    <t>0.0337</t>
  </si>
  <si>
    <t>0.0312</t>
  </si>
  <si>
    <t>0.0292</t>
  </si>
  <si>
    <t>0.0279</t>
  </si>
  <si>
    <t>0.0266</t>
  </si>
  <si>
    <t>0.0218</t>
  </si>
  <si>
    <t>0.0165</t>
  </si>
  <si>
    <t>0.0120</t>
  </si>
  <si>
    <t>0.0083</t>
  </si>
  <si>
    <t>Опыты j</t>
  </si>
  <si>
    <t>дисп коэф. σb^2</t>
  </si>
  <si>
    <t>tipac</t>
  </si>
  <si>
    <t>L значимые</t>
  </si>
  <si>
    <t>k</t>
  </si>
  <si>
    <t>б</t>
  </si>
  <si>
    <t>σад^2</t>
  </si>
  <si>
    <t>(Yj-Ysrj)^2</t>
  </si>
  <si>
    <t>Fрас</t>
  </si>
  <si>
    <t>&lt;</t>
  </si>
  <si>
    <t>Переходим к следующему этапу расчета</t>
  </si>
  <si>
    <t>лямбда</t>
  </si>
  <si>
    <t>2,567'</t>
  </si>
  <si>
    <t>tiтаб</t>
  </si>
  <si>
    <t>1933</t>
  </si>
  <si>
    <t>1937</t>
  </si>
  <si>
    <t>1938</t>
  </si>
  <si>
    <t>1950</t>
  </si>
  <si>
    <t>955</t>
  </si>
  <si>
    <t>856</t>
  </si>
  <si>
    <t>853</t>
  </si>
  <si>
    <t>482</t>
  </si>
  <si>
    <t>478</t>
  </si>
  <si>
    <t>453</t>
  </si>
  <si>
    <t>446</t>
  </si>
  <si>
    <t>439</t>
  </si>
  <si>
    <t>428</t>
  </si>
  <si>
    <t>415</t>
  </si>
  <si>
    <t>406</t>
  </si>
  <si>
    <t>559</t>
  </si>
  <si>
    <t>412</t>
  </si>
  <si>
    <t>357</t>
  </si>
  <si>
    <t>334</t>
  </si>
  <si>
    <t>358</t>
  </si>
  <si>
    <t>350</t>
  </si>
  <si>
    <t>339</t>
  </si>
  <si>
    <t>298</t>
  </si>
  <si>
    <t>293</t>
  </si>
  <si>
    <t>426</t>
  </si>
  <si>
    <t>290</t>
  </si>
  <si>
    <t>276</t>
  </si>
  <si>
    <t>333</t>
  </si>
  <si>
    <t>297</t>
  </si>
  <si>
    <t>282</t>
  </si>
  <si>
    <t>274</t>
  </si>
  <si>
    <t>267</t>
  </si>
  <si>
    <t>259</t>
  </si>
  <si>
    <t>254</t>
  </si>
  <si>
    <t>355</t>
  </si>
  <si>
    <t>Fтаб</t>
  </si>
  <si>
    <t>Уравнение регрессии адекватно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</si>
</sst>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3"/>
      <color rgb="FF000000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5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0" borderId="12" xfId="0" applyBorder="1"/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4" xfId="0" applyBorder="1"/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2" xfId="0" applyFill="1" applyBorder="1"/>
    <xf numFmtId="0" fontId="0" fillId="7" borderId="9" xfId="0" applyFill="1" applyBorder="1"/>
    <xf numFmtId="0" fontId="0" fillId="7" borderId="13" xfId="0" applyFill="1" applyBorder="1"/>
    <xf numFmtId="0" fontId="0" fillId="7" borderId="4" xfId="0" applyFill="1" applyBorder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 indent="2"/>
    </xf>
    <xf numFmtId="0" fontId="0" fillId="4" borderId="8" xfId="0" applyFill="1" applyBorder="1" applyAlignment="1">
      <alignment horizontal="center"/>
    </xf>
    <xf numFmtId="0" fontId="0" fillId="4" borderId="7" xfId="0" applyFill="1" applyBorder="1"/>
    <xf numFmtId="0" fontId="4" fillId="0" borderId="7" xfId="0" applyFont="1" applyBorder="1" applyAlignment="1">
      <alignment horizontal="center"/>
    </xf>
    <xf numFmtId="0" fontId="0" fillId="8" borderId="7" xfId="0" applyFill="1" applyBorder="1"/>
    <xf numFmtId="0" fontId="0" fillId="4" borderId="0" xfId="0" applyFill="1" applyAlignment="1">
      <alignment horizontal="left"/>
    </xf>
    <xf numFmtId="0" fontId="0" fillId="8" borderId="0" xfId="0" applyFill="1"/>
    <xf numFmtId="0" fontId="0" fillId="10" borderId="0" xfId="0" applyFill="1"/>
    <xf numFmtId="0" fontId="0" fillId="11" borderId="0" xfId="0" applyFill="1"/>
    <xf numFmtId="2" fontId="0" fillId="0" borderId="0" xfId="0" applyNumberFormat="1"/>
    <xf numFmtId="0" fontId="5" fillId="9" borderId="15" xfId="0" applyFont="1" applyFill="1" applyBorder="1" applyAlignment="1">
      <alignment horizontal="center" vertical="center" wrapText="1"/>
    </xf>
    <xf numFmtId="0" fontId="6" fillId="9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5" fillId="9" borderId="15" xfId="0" applyFont="1" applyFill="1" applyBorder="1" applyAlignment="1">
      <alignment horizontal="center" vertical="center" wrapText="1"/>
    </xf>
    <xf numFmtId="0" fontId="5" fillId="9" borderId="16" xfId="0" applyFont="1" applyFill="1" applyBorder="1" applyAlignment="1">
      <alignment horizontal="center" vertical="center" wrapText="1"/>
    </xf>
    <xf numFmtId="0" fontId="5" fillId="9" borderId="17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594360</xdr:colOff>
          <xdr:row>8</xdr:row>
          <xdr:rowOff>152400</xdr:rowOff>
        </xdr:from>
        <xdr:to>
          <xdr:col>20</xdr:col>
          <xdr:colOff>83820</xdr:colOff>
          <xdr:row>12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14</xdr:row>
          <xdr:rowOff>30480</xdr:rowOff>
        </xdr:from>
        <xdr:to>
          <xdr:col>20</xdr:col>
          <xdr:colOff>60960</xdr:colOff>
          <xdr:row>19</xdr:row>
          <xdr:rowOff>99060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</xdr:colOff>
          <xdr:row>20</xdr:row>
          <xdr:rowOff>15240</xdr:rowOff>
        </xdr:from>
        <xdr:to>
          <xdr:col>20</xdr:col>
          <xdr:colOff>0</xdr:colOff>
          <xdr:row>25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18</xdr:col>
          <xdr:colOff>190500</xdr:colOff>
          <xdr:row>1</xdr:row>
          <xdr:rowOff>137160</xdr:rowOff>
        </xdr:to>
        <xdr:sp macro="" textlink="">
          <xdr:nvSpPr>
            <xdr:cNvPr id="3076" name="Object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15</xdr:col>
          <xdr:colOff>190500</xdr:colOff>
          <xdr:row>2</xdr:row>
          <xdr:rowOff>144780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1</xdr:col>
          <xdr:colOff>190500</xdr:colOff>
          <xdr:row>21</xdr:row>
          <xdr:rowOff>144780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w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oleObject" Target="../embeddings/oleObject3.bin"/><Relationship Id="rId4" Type="http://schemas.openxmlformats.org/officeDocument/2006/relationships/image" Target="../media/image2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O33"/>
  <sheetViews>
    <sheetView tabSelected="1" topLeftCell="A6" zoomScale="85" zoomScaleNormal="85" workbookViewId="0">
      <selection activeCell="N24" sqref="N24"/>
    </sheetView>
  </sheetViews>
  <sheetFormatPr defaultRowHeight="14.4" x14ac:dyDescent="0.3"/>
  <cols>
    <col min="4" max="4" width="10.33203125" customWidth="1"/>
    <col min="5" max="5" width="9.88671875" customWidth="1"/>
    <col min="8" max="8" width="12.6640625" customWidth="1"/>
    <col min="9" max="9" width="12.88671875" customWidth="1"/>
    <col min="10" max="10" width="11.33203125" customWidth="1"/>
    <col min="11" max="11" width="11.6640625" customWidth="1"/>
    <col min="12" max="12" width="12.44140625" customWidth="1"/>
    <col min="13" max="13" width="13.6640625" customWidth="1"/>
  </cols>
  <sheetData>
    <row r="1" spans="2:15" ht="15" thickBot="1" x14ac:dyDescent="0.35"/>
    <row r="2" spans="2:15" ht="17.399999999999999" thickBot="1" x14ac:dyDescent="0.35">
      <c r="C2" s="1" t="s">
        <v>1</v>
      </c>
      <c r="D2" s="39" t="s">
        <v>3</v>
      </c>
      <c r="E2" s="41"/>
      <c r="F2" s="42"/>
      <c r="G2" s="43"/>
      <c r="H2" s="41" t="s">
        <v>4</v>
      </c>
      <c r="I2" s="42"/>
      <c r="J2" s="42"/>
      <c r="K2" s="42"/>
      <c r="L2" s="42"/>
      <c r="M2" s="43"/>
    </row>
    <row r="3" spans="2:15" ht="29.4" customHeight="1" thickBot="1" x14ac:dyDescent="0.35">
      <c r="C3" s="2" t="s">
        <v>2</v>
      </c>
      <c r="D3" s="40"/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3" t="s">
        <v>13</v>
      </c>
    </row>
    <row r="4" spans="2:15" ht="43.8" customHeight="1" thickBot="1" x14ac:dyDescent="0.35">
      <c r="C4" s="4" t="s">
        <v>0</v>
      </c>
      <c r="D4" s="5">
        <v>1</v>
      </c>
      <c r="E4" s="5">
        <v>1</v>
      </c>
      <c r="F4" s="5">
        <v>1</v>
      </c>
      <c r="G4" s="5">
        <v>1</v>
      </c>
      <c r="H4" s="5">
        <v>43.921259999999997</v>
      </c>
      <c r="I4" s="5">
        <v>40.696199999999997</v>
      </c>
      <c r="J4" s="5">
        <v>43.221600000000002</v>
      </c>
      <c r="K4" s="5">
        <v>42.228000000000002</v>
      </c>
      <c r="L4" s="5">
        <v>39.536999999999999</v>
      </c>
      <c r="M4" s="5">
        <v>38.874600000000001</v>
      </c>
      <c r="N4" s="6" t="s">
        <v>17</v>
      </c>
      <c r="O4">
        <f>SUM(H4:M4)</f>
        <v>248.47865999999999</v>
      </c>
    </row>
    <row r="5" spans="2:15" ht="46.2" customHeight="1" thickBot="1" x14ac:dyDescent="0.35">
      <c r="C5" s="2">
        <v>2</v>
      </c>
      <c r="D5" s="7">
        <v>1</v>
      </c>
      <c r="E5" s="7">
        <v>-1</v>
      </c>
      <c r="F5" s="7">
        <v>1</v>
      </c>
      <c r="G5" s="7">
        <v>-1</v>
      </c>
      <c r="H5" s="7">
        <v>32.039180000000002</v>
      </c>
      <c r="I5" s="7">
        <v>29.686689999999999</v>
      </c>
      <c r="J5" s="7">
        <v>31.5288</v>
      </c>
      <c r="K5" s="7">
        <v>30.803999999999998</v>
      </c>
      <c r="L5" s="7">
        <v>28.841000000000001</v>
      </c>
      <c r="M5" s="7">
        <v>31.738199999999999</v>
      </c>
      <c r="N5" s="6" t="s">
        <v>18</v>
      </c>
      <c r="O5">
        <f>SUM(H5:M5)</f>
        <v>184.63787000000002</v>
      </c>
    </row>
    <row r="6" spans="2:15" ht="46.2" customHeight="1" thickBot="1" x14ac:dyDescent="0.35">
      <c r="C6" s="2">
        <v>3</v>
      </c>
      <c r="D6" s="7">
        <v>1</v>
      </c>
      <c r="E6" s="7">
        <v>1</v>
      </c>
      <c r="F6" s="7">
        <v>-1</v>
      </c>
      <c r="G6" s="7">
        <v>-1</v>
      </c>
      <c r="H6" s="7">
        <v>20.1571</v>
      </c>
      <c r="I6" s="7">
        <v>18.677</v>
      </c>
      <c r="J6" s="7">
        <v>19.385999999999999</v>
      </c>
      <c r="K6" s="7">
        <v>19.38</v>
      </c>
      <c r="L6" s="7">
        <v>18.145</v>
      </c>
      <c r="M6" s="7">
        <v>17.841000000000001</v>
      </c>
      <c r="N6" s="6" t="s">
        <v>19</v>
      </c>
      <c r="O6">
        <f>SUM(H6:M6)</f>
        <v>113.58609999999999</v>
      </c>
    </row>
    <row r="7" spans="2:15" ht="51.6" customHeight="1" thickBot="1" x14ac:dyDescent="0.35">
      <c r="C7" s="2">
        <v>4</v>
      </c>
      <c r="D7" s="7">
        <v>1</v>
      </c>
      <c r="E7" s="7">
        <v>-1</v>
      </c>
      <c r="F7" s="7">
        <v>-1</v>
      </c>
      <c r="G7" s="7">
        <v>1</v>
      </c>
      <c r="H7" s="7">
        <v>8.2750199999999996</v>
      </c>
      <c r="I7" s="7">
        <v>7.6673999999999998</v>
      </c>
      <c r="J7" s="7">
        <v>8.1432000000000002</v>
      </c>
      <c r="K7" s="7">
        <v>7.9560000000000004</v>
      </c>
      <c r="L7" s="7">
        <v>7.4489999999999998</v>
      </c>
      <c r="M7" s="7">
        <v>7.3242000000000003</v>
      </c>
      <c r="N7" s="8" t="s">
        <v>20</v>
      </c>
      <c r="O7">
        <f>SUM(H7:M7)</f>
        <v>46.814819999999997</v>
      </c>
    </row>
    <row r="10" spans="2:15" x14ac:dyDescent="0.3">
      <c r="B10" s="10" t="s">
        <v>14</v>
      </c>
      <c r="D10" s="10" t="s">
        <v>15</v>
      </c>
      <c r="F10" s="26" t="s">
        <v>33</v>
      </c>
      <c r="H10" s="25" t="s">
        <v>34</v>
      </c>
    </row>
    <row r="11" spans="2:15" x14ac:dyDescent="0.3">
      <c r="B11" s="10">
        <v>4</v>
      </c>
      <c r="D11" s="31">
        <v>6</v>
      </c>
      <c r="F11" s="26">
        <v>5</v>
      </c>
      <c r="H11" s="25">
        <v>4</v>
      </c>
    </row>
    <row r="12" spans="2:15" ht="15" thickBot="1" x14ac:dyDescent="0.35"/>
    <row r="13" spans="2:15" x14ac:dyDescent="0.3">
      <c r="B13" s="9" t="s">
        <v>16</v>
      </c>
      <c r="C13" s="9">
        <f>(1/$D$11)*O4</f>
        <v>41.413109999999996</v>
      </c>
      <c r="E13" s="11" t="s">
        <v>24</v>
      </c>
      <c r="F13" s="11" t="s">
        <v>25</v>
      </c>
      <c r="G13" s="11" t="s">
        <v>26</v>
      </c>
      <c r="H13" s="11" t="s">
        <v>27</v>
      </c>
      <c r="J13" s="47" t="s">
        <v>29</v>
      </c>
      <c r="K13" s="48"/>
      <c r="L13" s="48"/>
      <c r="M13" s="48"/>
      <c r="N13" s="48"/>
      <c r="O13" s="49"/>
    </row>
    <row r="14" spans="2:15" x14ac:dyDescent="0.3">
      <c r="B14" s="9" t="s">
        <v>21</v>
      </c>
      <c r="C14" s="9">
        <f t="shared" ref="C14:C15" si="0">(1/$D$11)*O5</f>
        <v>30.772978333333334</v>
      </c>
      <c r="E14" s="11">
        <f>1/$B$11*(D4*$C$13+D5*$C$14+D6*$C$15+D7*$C$16)</f>
        <v>24.729893749999999</v>
      </c>
      <c r="F14" s="11">
        <f>1/$B$11*(E4*$C$13+E5*$C$14+E6*$C$15+E7*$C$16)</f>
        <v>5.4421695833333317</v>
      </c>
      <c r="G14" s="11">
        <f>1/$B$11*(F4*$C$13+F5*$C$14+F6*$C$15+F7*$C$16)</f>
        <v>11.363150416666667</v>
      </c>
      <c r="H14" s="11">
        <f>1/$B$11*(E4*F4*G4*$C$13+E5*F5*G5*$C$14+E6*F6*G6*$C$15+E7*F7*G7*$C$16)</f>
        <v>24.729893749999999</v>
      </c>
      <c r="J14" s="14">
        <f>(H4-$C$13)^2</f>
        <v>6.2908164225000025</v>
      </c>
      <c r="K14">
        <f t="shared" ref="K14:M14" si="1">(I4-$C$13)^2</f>
        <v>0.51395994809999801</v>
      </c>
      <c r="L14">
        <f t="shared" si="1"/>
        <v>3.2706360801000223</v>
      </c>
      <c r="M14">
        <f t="shared" si="1"/>
        <v>0.66404571210000884</v>
      </c>
      <c r="N14">
        <f>(L4-$C$13)^2</f>
        <v>3.5197887320999888</v>
      </c>
      <c r="O14" s="15">
        <f>(M4-$C$13)^2</f>
        <v>6.4440330200999751</v>
      </c>
    </row>
    <row r="15" spans="2:15" x14ac:dyDescent="0.3">
      <c r="B15" s="9" t="s">
        <v>22</v>
      </c>
      <c r="C15" s="9">
        <f t="shared" si="0"/>
        <v>18.931016666666665</v>
      </c>
      <c r="J15" s="14">
        <f>(H5-$C$14)^2</f>
        <v>1.6032666606694461</v>
      </c>
      <c r="K15">
        <f t="shared" ref="K15:O15" si="2">(I5-$C$14)^2</f>
        <v>1.1800223431361163</v>
      </c>
      <c r="L15">
        <f t="shared" si="2"/>
        <v>0.57126639180277672</v>
      </c>
      <c r="M15">
        <f t="shared" si="2"/>
        <v>9.6234380277761614E-4</v>
      </c>
      <c r="N15">
        <f>(L5-$C$14)^2</f>
        <v>3.7325402804694443</v>
      </c>
      <c r="O15" s="15">
        <f t="shared" si="2"/>
        <v>0.93165286580277384</v>
      </c>
    </row>
    <row r="16" spans="2:15" x14ac:dyDescent="0.3">
      <c r="B16" s="9" t="s">
        <v>23</v>
      </c>
      <c r="C16" s="9">
        <f>(1/$D$11)*O7</f>
        <v>7.8024699999999996</v>
      </c>
      <c r="E16" s="50" t="s">
        <v>28</v>
      </c>
      <c r="F16" s="50"/>
      <c r="G16" s="50"/>
      <c r="H16" s="50"/>
      <c r="J16" s="14">
        <f>(H6-$C$15)^2</f>
        <v>1.5032803402777823</v>
      </c>
      <c r="K16">
        <f t="shared" ref="K16:O16" si="3">(I6-$C$15)^2</f>
        <v>6.4524466944443595E-2</v>
      </c>
      <c r="L16">
        <f t="shared" si="3"/>
        <v>0.20700983361111228</v>
      </c>
      <c r="M16">
        <f t="shared" si="3"/>
        <v>0.20158603361111208</v>
      </c>
      <c r="N16">
        <f t="shared" si="3"/>
        <v>0.61782220027777524</v>
      </c>
      <c r="O16" s="15">
        <f t="shared" si="3"/>
        <v>1.1881363336111042</v>
      </c>
    </row>
    <row r="17" spans="2:15" ht="15" thickBot="1" x14ac:dyDescent="0.35">
      <c r="E17" s="13">
        <f>(1/($D$11-1))*SUM(J14:O14)</f>
        <v>4.1406559829999994</v>
      </c>
      <c r="F17" s="13">
        <f>(1/($D$11-1))*SUM(J15:O15)</f>
        <v>1.6039421771366671</v>
      </c>
      <c r="G17" s="13">
        <f>(1/($D$11-1))*SUM(J16:O16)</f>
        <v>0.75647184166666603</v>
      </c>
      <c r="H17" s="13">
        <f>(1/($D$11-1))*SUM(J17:O17)</f>
        <v>0.14697980699999996</v>
      </c>
      <c r="J17" s="16">
        <f>(H7-$C$16)^2</f>
        <v>0.22330350250000003</v>
      </c>
      <c r="K17" s="17">
        <f t="shared" ref="K17:O17" si="4">(I7-$C$16)^2</f>
        <v>1.8243904899999948E-2</v>
      </c>
      <c r="L17" s="17">
        <f t="shared" si="4"/>
        <v>0.11609693290000044</v>
      </c>
      <c r="M17" s="17">
        <f t="shared" si="4"/>
        <v>2.3571460900000257E-2</v>
      </c>
      <c r="N17" s="17">
        <f t="shared" si="4"/>
        <v>0.12494104089999981</v>
      </c>
      <c r="O17" s="18">
        <f t="shared" si="4"/>
        <v>0.22874219289999934</v>
      </c>
    </row>
    <row r="19" spans="2:15" ht="15" thickBot="1" x14ac:dyDescent="0.35"/>
    <row r="20" spans="2:15" ht="16.2" thickBot="1" x14ac:dyDescent="0.35">
      <c r="B20" s="19" t="s">
        <v>30</v>
      </c>
      <c r="C20" s="20" t="s">
        <v>31</v>
      </c>
      <c r="D20" s="12"/>
      <c r="E20" s="27" t="s">
        <v>32</v>
      </c>
      <c r="F20" s="28">
        <f>E17/SUM(E17:H17)</f>
        <v>0.6228376895607719</v>
      </c>
      <c r="G20" s="29" t="s">
        <v>264</v>
      </c>
      <c r="H20" s="30" t="s">
        <v>35</v>
      </c>
      <c r="I20" s="30">
        <v>0.54400000000000004</v>
      </c>
      <c r="J20" s="52" t="s">
        <v>265</v>
      </c>
      <c r="K20" s="53"/>
      <c r="L20" s="53"/>
      <c r="M20" s="54"/>
    </row>
    <row r="21" spans="2:15" x14ac:dyDescent="0.3">
      <c r="B21" s="21">
        <f>$E$14+$F$14*E4+$G$14*F4</f>
        <v>41.535213749999997</v>
      </c>
      <c r="C21" s="22">
        <f>$E$14+$F$14*E4+$G$14*F4+$H$14*G4</f>
        <v>66.265107499999999</v>
      </c>
    </row>
    <row r="22" spans="2:15" x14ac:dyDescent="0.3">
      <c r="B22" s="21">
        <f>$E$14+$F$14*E5+$G$14*F5</f>
        <v>30.650874583333334</v>
      </c>
      <c r="C22" s="22">
        <f t="shared" ref="C22:C24" si="5">$E$14+$F$14*E5+$G$14*F5+$H$14*G5</f>
        <v>5.9209808333333349</v>
      </c>
    </row>
    <row r="23" spans="2:15" x14ac:dyDescent="0.3">
      <c r="B23" s="21">
        <f t="shared" ref="B23" si="6">$E$14+$F$14*E6+$G$14*F6</f>
        <v>18.808912916666664</v>
      </c>
      <c r="C23" s="22">
        <f t="shared" si="5"/>
        <v>-5.9209808333333349</v>
      </c>
      <c r="G23" s="51" t="s">
        <v>36</v>
      </c>
      <c r="H23" s="46"/>
      <c r="I23" s="32">
        <f>1/$B$11*SUM(E17:H17)</f>
        <v>1.6620124522008333</v>
      </c>
    </row>
    <row r="24" spans="2:15" ht="15" thickBot="1" x14ac:dyDescent="0.35">
      <c r="B24" s="23">
        <f>$E$14+$F$14*E7+$G$14*F7</f>
        <v>7.9245737500000004</v>
      </c>
      <c r="C24" s="24">
        <f t="shared" si="5"/>
        <v>32.654467499999996</v>
      </c>
      <c r="G24" s="55" t="s">
        <v>256</v>
      </c>
      <c r="H24" s="46"/>
      <c r="I24" s="32">
        <f>I23/B11</f>
        <v>0.41550311305020832</v>
      </c>
    </row>
    <row r="26" spans="2:15" x14ac:dyDescent="0.3">
      <c r="B26" s="45" t="s">
        <v>262</v>
      </c>
      <c r="C26" s="45"/>
      <c r="G26" s="46" t="s">
        <v>257</v>
      </c>
      <c r="H26" s="46"/>
      <c r="I26" s="46"/>
      <c r="J26" s="9" t="s">
        <v>268</v>
      </c>
      <c r="K26" s="32" t="s">
        <v>258</v>
      </c>
    </row>
    <row r="27" spans="2:15" x14ac:dyDescent="0.3">
      <c r="B27" s="33">
        <f>(B21-C13)^2</f>
        <v>1.4909325764062707E-2</v>
      </c>
      <c r="C27" s="33"/>
      <c r="G27">
        <f>E14/$I$24</f>
        <v>59.517950583950743</v>
      </c>
      <c r="H27">
        <f t="shared" ref="H27:I27" si="7">F14/$I$24</f>
        <v>13.097782934482405</v>
      </c>
      <c r="I27">
        <f t="shared" si="7"/>
        <v>27.347930881311047</v>
      </c>
      <c r="J27" s="9">
        <v>2.0859999999999999</v>
      </c>
      <c r="K27">
        <v>0</v>
      </c>
    </row>
    <row r="28" spans="2:15" x14ac:dyDescent="0.3">
      <c r="B28" s="33">
        <f t="shared" ref="B28" si="8">(B22-C14)^2</f>
        <v>1.4909325764062707E-2</v>
      </c>
      <c r="C28" s="33"/>
    </row>
    <row r="29" spans="2:15" x14ac:dyDescent="0.3">
      <c r="B29" s="33">
        <f>(B23-C15)^2</f>
        <v>1.4909325764062707E-2</v>
      </c>
      <c r="C29" s="33"/>
      <c r="G29" s="9" t="s">
        <v>261</v>
      </c>
      <c r="I29" s="34" t="s">
        <v>263</v>
      </c>
      <c r="K29" s="11" t="s">
        <v>304</v>
      </c>
    </row>
    <row r="30" spans="2:15" x14ac:dyDescent="0.3">
      <c r="B30" s="33">
        <f>(B24-C16)^2</f>
        <v>1.4909325764062707E-2</v>
      </c>
      <c r="C30" s="33"/>
      <c r="G30" s="9">
        <f>D11/(B11-K27)*SUM(B27:B30)</f>
        <v>8.9455954584376246E-2</v>
      </c>
      <c r="I30" s="34">
        <f>G30/I23</f>
        <v>5.3823877472108504E-2</v>
      </c>
      <c r="J30" s="12" t="s">
        <v>264</v>
      </c>
      <c r="K30" s="11">
        <v>3.1</v>
      </c>
    </row>
    <row r="33" spans="7:11" x14ac:dyDescent="0.3">
      <c r="G33" s="44" t="s">
        <v>305</v>
      </c>
      <c r="H33" s="44"/>
      <c r="I33" s="44"/>
      <c r="J33" s="44"/>
      <c r="K33" s="44"/>
    </row>
  </sheetData>
  <mergeCells count="11">
    <mergeCell ref="D2:D3"/>
    <mergeCell ref="E2:G2"/>
    <mergeCell ref="H2:M2"/>
    <mergeCell ref="G33:K33"/>
    <mergeCell ref="B26:C26"/>
    <mergeCell ref="G26:I26"/>
    <mergeCell ref="J13:O13"/>
    <mergeCell ref="E16:H16"/>
    <mergeCell ref="G23:H23"/>
    <mergeCell ref="J20:M20"/>
    <mergeCell ref="G24:H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rst">
                <anchor moveWithCells="1">
                  <from>
                    <xdr:col>15</xdr:col>
                    <xdr:colOff>594360</xdr:colOff>
                    <xdr:row>8</xdr:row>
                    <xdr:rowOff>152400</xdr:rowOff>
                  </from>
                  <to>
                    <xdr:col>20</xdr:col>
                    <xdr:colOff>83820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second">
                <anchor moveWithCells="1" sizeWithCells="1">
                  <from>
                    <xdr:col>16</xdr:col>
                    <xdr:colOff>15240</xdr:colOff>
                    <xdr:row>14</xdr:row>
                    <xdr:rowOff>30480</xdr:rowOff>
                  </from>
                  <to>
                    <xdr:col>20</xdr:col>
                    <xdr:colOff>60960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hird">
                <anchor moveWithCells="1" sizeWithCells="1">
                  <from>
                    <xdr:col>16</xdr:col>
                    <xdr:colOff>83820</xdr:colOff>
                    <xdr:row>20</xdr:row>
                    <xdr:rowOff>15240</xdr:rowOff>
                  </from>
                  <to>
                    <xdr:col>20</xdr:col>
                    <xdr:colOff>0</xdr:colOff>
                    <xdr:row>25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0ECD-9025-4E3C-9C4A-0ACC18B256B9}">
  <sheetPr codeName="Лист4"/>
  <dimension ref="C2:X31"/>
  <sheetViews>
    <sheetView zoomScale="85" zoomScaleNormal="85" workbookViewId="0">
      <selection activeCell="C17" sqref="C17"/>
    </sheetView>
  </sheetViews>
  <sheetFormatPr defaultRowHeight="14.4" x14ac:dyDescent="0.3"/>
  <cols>
    <col min="4" max="4" width="9" bestFit="1" customWidth="1"/>
    <col min="5" max="20" width="10.109375" bestFit="1" customWidth="1"/>
  </cols>
  <sheetData>
    <row r="2" spans="3:24" ht="14.4" customHeight="1" x14ac:dyDescent="0.3">
      <c r="C2" s="38"/>
      <c r="D2" s="38">
        <v>1</v>
      </c>
      <c r="E2" s="38">
        <v>2</v>
      </c>
      <c r="F2" s="38">
        <v>3</v>
      </c>
      <c r="G2" s="38">
        <v>4</v>
      </c>
      <c r="H2" s="38">
        <v>5</v>
      </c>
      <c r="I2" s="38">
        <v>6</v>
      </c>
      <c r="J2" s="38">
        <v>7</v>
      </c>
      <c r="K2" s="38">
        <v>8</v>
      </c>
      <c r="L2" s="38">
        <v>9</v>
      </c>
      <c r="M2" s="38">
        <v>10</v>
      </c>
      <c r="N2" s="38">
        <v>12</v>
      </c>
      <c r="O2" s="38">
        <v>16</v>
      </c>
      <c r="P2" s="38">
        <v>24</v>
      </c>
      <c r="Q2" s="38">
        <v>40</v>
      </c>
      <c r="R2" s="38">
        <v>100</v>
      </c>
      <c r="S2" s="38"/>
    </row>
    <row r="3" spans="3:24" ht="16.8" customHeight="1" x14ac:dyDescent="0.3">
      <c r="C3" s="38">
        <v>1</v>
      </c>
      <c r="D3" s="38">
        <v>161</v>
      </c>
      <c r="E3" s="38">
        <v>200</v>
      </c>
      <c r="F3" s="38">
        <v>216</v>
      </c>
      <c r="G3" s="38">
        <v>225</v>
      </c>
      <c r="H3" s="38">
        <v>230</v>
      </c>
      <c r="I3" s="38">
        <v>234</v>
      </c>
      <c r="J3" s="38">
        <v>237</v>
      </c>
      <c r="K3" s="38">
        <v>239</v>
      </c>
      <c r="L3" s="38">
        <v>241</v>
      </c>
      <c r="M3" s="38">
        <v>3.1</v>
      </c>
      <c r="N3" s="38">
        <v>244</v>
      </c>
      <c r="O3" s="38">
        <v>246</v>
      </c>
      <c r="P3" s="38">
        <v>249</v>
      </c>
      <c r="Q3" s="38">
        <v>251</v>
      </c>
      <c r="R3" s="38">
        <v>253</v>
      </c>
      <c r="S3" s="38">
        <v>254</v>
      </c>
      <c r="V3" s="32" t="s">
        <v>33</v>
      </c>
      <c r="X3" s="32" t="s">
        <v>34</v>
      </c>
    </row>
    <row r="4" spans="3:24" ht="16.8" customHeight="1" x14ac:dyDescent="0.3">
      <c r="C4" s="38">
        <v>2</v>
      </c>
      <c r="D4" s="38">
        <v>18.510000000000002</v>
      </c>
      <c r="E4" s="38">
        <v>19</v>
      </c>
      <c r="F4" s="38">
        <v>19.16</v>
      </c>
      <c r="G4" s="38">
        <v>19.25</v>
      </c>
      <c r="H4" s="38">
        <v>1930</v>
      </c>
      <c r="I4" s="38" t="s">
        <v>269</v>
      </c>
      <c r="J4" s="38">
        <v>19.36</v>
      </c>
      <c r="K4" s="38" t="s">
        <v>270</v>
      </c>
      <c r="L4" s="38" t="s">
        <v>271</v>
      </c>
      <c r="M4" s="38">
        <v>19.39</v>
      </c>
      <c r="N4" s="38">
        <v>19.41</v>
      </c>
      <c r="O4" s="38">
        <v>19.43</v>
      </c>
      <c r="P4" s="38">
        <v>19.45</v>
      </c>
      <c r="Q4" s="38">
        <v>19.47</v>
      </c>
      <c r="R4" s="38">
        <v>19.489999999999998</v>
      </c>
      <c r="S4" s="38" t="s">
        <v>272</v>
      </c>
      <c r="V4" s="32">
        <f>Sheet1!B11-1</f>
        <v>3</v>
      </c>
      <c r="X4" s="32">
        <f>Sheet1!B11*(Sheet1!D11-1)</f>
        <v>20</v>
      </c>
    </row>
    <row r="5" spans="3:24" ht="16.8" customHeight="1" x14ac:dyDescent="0.3">
      <c r="C5" s="38">
        <v>3</v>
      </c>
      <c r="D5" s="38">
        <v>10.130000000000001</v>
      </c>
      <c r="E5" s="38" t="s">
        <v>273</v>
      </c>
      <c r="F5" s="38">
        <v>9.2799999999999994</v>
      </c>
      <c r="G5" s="38">
        <v>9.1199999999999992</v>
      </c>
      <c r="H5" s="38">
        <v>9.01</v>
      </c>
      <c r="I5" s="38">
        <v>8.94</v>
      </c>
      <c r="J5" s="38">
        <v>8.8800000000000008</v>
      </c>
      <c r="K5" s="38">
        <v>8.84</v>
      </c>
      <c r="L5" s="38">
        <v>8.81</v>
      </c>
      <c r="M5" s="38">
        <v>8.7799999999999994</v>
      </c>
      <c r="N5" s="38">
        <v>8.74</v>
      </c>
      <c r="O5" s="38">
        <v>8.69</v>
      </c>
      <c r="P5" s="38">
        <v>8.64</v>
      </c>
      <c r="Q5" s="38">
        <v>8.6</v>
      </c>
      <c r="R5" s="38" t="s">
        <v>274</v>
      </c>
      <c r="S5" s="38" t="s">
        <v>275</v>
      </c>
    </row>
    <row r="6" spans="3:24" ht="16.8" customHeight="1" x14ac:dyDescent="0.3">
      <c r="C6" s="38">
        <v>4</v>
      </c>
      <c r="D6" s="38">
        <v>7.71</v>
      </c>
      <c r="E6" s="38">
        <v>6.94</v>
      </c>
      <c r="F6" s="38">
        <v>6.59</v>
      </c>
      <c r="G6" s="38">
        <v>6.39</v>
      </c>
      <c r="H6" s="38">
        <v>6.26</v>
      </c>
      <c r="I6" s="38">
        <v>6.16</v>
      </c>
      <c r="J6" s="38">
        <v>6.09</v>
      </c>
      <c r="K6" s="38">
        <v>6.04</v>
      </c>
      <c r="L6" s="38">
        <v>6</v>
      </c>
      <c r="M6" s="38">
        <v>5.96</v>
      </c>
      <c r="N6" s="38">
        <v>5.91</v>
      </c>
      <c r="O6" s="38">
        <v>5.84</v>
      </c>
      <c r="P6" s="38">
        <v>5.77</v>
      </c>
      <c r="Q6" s="38">
        <v>5.71</v>
      </c>
      <c r="R6" s="38">
        <v>5.68</v>
      </c>
      <c r="S6" s="38">
        <v>5.63</v>
      </c>
      <c r="W6" s="11">
        <v>3.1</v>
      </c>
    </row>
    <row r="7" spans="3:24" ht="16.8" customHeight="1" x14ac:dyDescent="0.3">
      <c r="C7" s="38">
        <v>5</v>
      </c>
      <c r="D7" s="38">
        <v>6.61</v>
      </c>
      <c r="E7" s="38">
        <v>5.79</v>
      </c>
      <c r="F7" s="38">
        <v>5.41</v>
      </c>
      <c r="G7" s="38">
        <v>5.19</v>
      </c>
      <c r="H7" s="38">
        <v>5.05</v>
      </c>
      <c r="I7" s="38">
        <v>4.95</v>
      </c>
      <c r="J7" s="38">
        <v>4.88</v>
      </c>
      <c r="K7" s="38" t="s">
        <v>276</v>
      </c>
      <c r="L7" s="38" t="s">
        <v>277</v>
      </c>
      <c r="M7" s="38">
        <v>4.74</v>
      </c>
      <c r="N7" s="38">
        <v>4.68</v>
      </c>
      <c r="O7" s="38">
        <v>4.5999999999999996</v>
      </c>
      <c r="P7" s="38" t="s">
        <v>278</v>
      </c>
      <c r="Q7" s="38" t="s">
        <v>279</v>
      </c>
      <c r="R7" s="38">
        <v>4.4000000000000004</v>
      </c>
      <c r="S7" s="38">
        <v>4.3600000000000003</v>
      </c>
    </row>
    <row r="8" spans="3:24" ht="16.8" customHeight="1" x14ac:dyDescent="0.3">
      <c r="C8" s="38">
        <v>6</v>
      </c>
      <c r="D8" s="38">
        <v>5.99</v>
      </c>
      <c r="E8" s="38">
        <v>5.14</v>
      </c>
      <c r="F8" s="38">
        <v>4.76</v>
      </c>
      <c r="G8" s="38">
        <v>4.63</v>
      </c>
      <c r="H8" s="38" t="s">
        <v>280</v>
      </c>
      <c r="I8" s="38" t="s">
        <v>281</v>
      </c>
      <c r="J8" s="38">
        <v>4.21</v>
      </c>
      <c r="K8" s="38" t="s">
        <v>282</v>
      </c>
      <c r="L8" s="38">
        <v>4.0999999999999996</v>
      </c>
      <c r="M8" s="38" t="s">
        <v>283</v>
      </c>
      <c r="N8" s="38">
        <v>4</v>
      </c>
      <c r="O8" s="38">
        <v>3.92</v>
      </c>
      <c r="P8" s="38">
        <v>3.84</v>
      </c>
      <c r="Q8" s="38">
        <v>3.77</v>
      </c>
      <c r="R8" s="38">
        <v>3.71</v>
      </c>
      <c r="S8" s="38">
        <v>3.67</v>
      </c>
    </row>
    <row r="9" spans="3:24" ht="16.8" customHeight="1" x14ac:dyDescent="0.3">
      <c r="C9" s="38">
        <v>7</v>
      </c>
      <c r="D9" s="38" t="s">
        <v>284</v>
      </c>
      <c r="E9" s="38">
        <v>4.74</v>
      </c>
      <c r="F9" s="38">
        <v>4.3499999999999996</v>
      </c>
      <c r="G9" s="38" t="s">
        <v>285</v>
      </c>
      <c r="H9" s="38">
        <v>3.97</v>
      </c>
      <c r="I9" s="38" t="s">
        <v>286</v>
      </c>
      <c r="J9" s="38">
        <v>3.79</v>
      </c>
      <c r="K9" s="38">
        <v>3.73</v>
      </c>
      <c r="L9" s="38">
        <v>3.68</v>
      </c>
      <c r="M9" s="38">
        <v>3.63</v>
      </c>
      <c r="N9" s="38" t="s">
        <v>286</v>
      </c>
      <c r="O9" s="38">
        <v>3.49</v>
      </c>
      <c r="P9" s="38">
        <v>3.41</v>
      </c>
      <c r="Q9" s="38" t="s">
        <v>287</v>
      </c>
      <c r="R9" s="38">
        <v>3.28</v>
      </c>
      <c r="S9" s="38">
        <v>3.23</v>
      </c>
    </row>
    <row r="10" spans="3:24" ht="16.8" customHeight="1" x14ac:dyDescent="0.3">
      <c r="C10" s="38">
        <v>8</v>
      </c>
      <c r="D10" s="38">
        <v>5.32</v>
      </c>
      <c r="E10" s="38">
        <v>4.46</v>
      </c>
      <c r="F10" s="38">
        <v>4.07</v>
      </c>
      <c r="G10" s="38">
        <v>3.84</v>
      </c>
      <c r="H10" s="38">
        <v>3.69</v>
      </c>
      <c r="I10" s="38" t="s">
        <v>288</v>
      </c>
      <c r="J10" s="38" t="s">
        <v>289</v>
      </c>
      <c r="K10" s="38">
        <v>3.44</v>
      </c>
      <c r="L10" s="38" t="s">
        <v>290</v>
      </c>
      <c r="M10" s="38">
        <v>3.34</v>
      </c>
      <c r="N10" s="38">
        <v>3.28</v>
      </c>
      <c r="O10" s="38">
        <v>3.2</v>
      </c>
      <c r="P10" s="38">
        <v>3.12</v>
      </c>
      <c r="Q10" s="38">
        <v>3.05</v>
      </c>
      <c r="R10" s="38" t="s">
        <v>291</v>
      </c>
      <c r="S10" s="38" t="s">
        <v>292</v>
      </c>
    </row>
    <row r="11" spans="3:24" ht="16.8" customHeight="1" x14ac:dyDescent="0.3">
      <c r="C11" s="38">
        <v>9</v>
      </c>
      <c r="D11" s="38">
        <v>5.12</v>
      </c>
      <c r="E11" s="38" t="s">
        <v>293</v>
      </c>
      <c r="F11" s="38">
        <v>3.86</v>
      </c>
      <c r="G11" s="38">
        <v>3.63</v>
      </c>
      <c r="H11" s="38">
        <v>3.48</v>
      </c>
      <c r="I11" s="38">
        <v>3.37</v>
      </c>
      <c r="J11" s="38">
        <v>3.29</v>
      </c>
      <c r="K11" s="38">
        <v>3.23</v>
      </c>
      <c r="L11" s="38">
        <v>3.18</v>
      </c>
      <c r="M11" s="38">
        <v>3.13</v>
      </c>
      <c r="N11" s="38">
        <v>3.07</v>
      </c>
      <c r="O11" s="38" t="s">
        <v>291</v>
      </c>
      <c r="P11" s="38" t="s">
        <v>294</v>
      </c>
      <c r="Q11" s="38">
        <v>2.82</v>
      </c>
      <c r="R11" s="38" t="s">
        <v>295</v>
      </c>
      <c r="S11" s="38">
        <v>2.71</v>
      </c>
    </row>
    <row r="12" spans="3:24" ht="16.8" customHeight="1" x14ac:dyDescent="0.3">
      <c r="C12" s="38">
        <v>10</v>
      </c>
      <c r="D12" s="38">
        <v>4.96</v>
      </c>
      <c r="E12" s="38">
        <v>4.0999999999999996</v>
      </c>
      <c r="F12" s="38">
        <v>3.71</v>
      </c>
      <c r="G12" s="38">
        <v>3.48</v>
      </c>
      <c r="H12" s="38" t="s">
        <v>296</v>
      </c>
      <c r="I12" s="38">
        <v>3.22</v>
      </c>
      <c r="J12" s="38">
        <v>3.14</v>
      </c>
      <c r="K12" s="38">
        <v>3.07</v>
      </c>
      <c r="L12" s="38">
        <v>3.02</v>
      </c>
      <c r="M12" s="38" t="s">
        <v>297</v>
      </c>
      <c r="N12" s="38">
        <v>2.91</v>
      </c>
      <c r="O12" s="38" t="s">
        <v>298</v>
      </c>
      <c r="P12" s="38" t="s">
        <v>299</v>
      </c>
      <c r="Q12" s="38" t="s">
        <v>300</v>
      </c>
      <c r="R12" s="38" t="s">
        <v>301</v>
      </c>
      <c r="S12" s="38" t="s">
        <v>302</v>
      </c>
    </row>
    <row r="13" spans="3:24" ht="16.8" customHeight="1" x14ac:dyDescent="0.3">
      <c r="C13" s="38">
        <v>12</v>
      </c>
      <c r="D13" s="38">
        <v>4.75</v>
      </c>
      <c r="E13" s="38">
        <v>1.88</v>
      </c>
      <c r="F13" s="38">
        <v>1.49</v>
      </c>
      <c r="G13" s="38">
        <v>3.26</v>
      </c>
      <c r="H13" s="38">
        <v>3.11</v>
      </c>
      <c r="I13" s="38">
        <v>3</v>
      </c>
      <c r="J13" s="38">
        <v>2.92</v>
      </c>
      <c r="K13" s="38">
        <v>2.85</v>
      </c>
      <c r="L13" s="38">
        <v>2.8</v>
      </c>
      <c r="M13" s="38">
        <v>2.76</v>
      </c>
      <c r="N13" s="38">
        <v>2.69</v>
      </c>
      <c r="O13" s="38">
        <v>2.6</v>
      </c>
      <c r="P13" s="38">
        <v>2.5</v>
      </c>
      <c r="Q13" s="38">
        <v>5.42</v>
      </c>
      <c r="R13" s="38">
        <v>2.35</v>
      </c>
      <c r="S13" s="38">
        <v>2.2999999999999998</v>
      </c>
    </row>
    <row r="14" spans="3:24" ht="16.8" customHeight="1" x14ac:dyDescent="0.3">
      <c r="C14" s="38">
        <v>14</v>
      </c>
      <c r="D14" s="38">
        <v>4.5999999999999996</v>
      </c>
      <c r="E14" s="38">
        <v>3.74</v>
      </c>
      <c r="F14" s="38">
        <v>3.34</v>
      </c>
      <c r="G14" s="38">
        <v>3.11</v>
      </c>
      <c r="H14" s="38">
        <v>2.96</v>
      </c>
      <c r="I14" s="38">
        <v>2.85</v>
      </c>
      <c r="J14" s="38">
        <v>2.77</v>
      </c>
      <c r="K14" s="38">
        <v>2.7</v>
      </c>
      <c r="L14" s="38">
        <v>2.65</v>
      </c>
      <c r="M14" s="38">
        <v>2.6</v>
      </c>
      <c r="N14" s="38">
        <v>2.5299999999999998</v>
      </c>
      <c r="O14" s="38">
        <v>2.44</v>
      </c>
      <c r="P14" s="38">
        <v>2.35</v>
      </c>
      <c r="Q14" s="38">
        <v>2.27</v>
      </c>
      <c r="R14" s="38">
        <v>2.19</v>
      </c>
      <c r="S14" s="38">
        <v>2.13</v>
      </c>
    </row>
    <row r="15" spans="3:24" ht="16.8" customHeight="1" x14ac:dyDescent="0.3">
      <c r="C15" s="38">
        <v>16</v>
      </c>
      <c r="D15" s="38">
        <v>4.49</v>
      </c>
      <c r="E15" s="38">
        <v>3.63</v>
      </c>
      <c r="F15" s="38">
        <v>3.24</v>
      </c>
      <c r="G15" s="38">
        <v>3.01</v>
      </c>
      <c r="H15" s="38">
        <v>2.85</v>
      </c>
      <c r="I15" s="38">
        <v>2.74</v>
      </c>
      <c r="J15" s="38">
        <v>2.66</v>
      </c>
      <c r="K15" s="38">
        <v>2.59</v>
      </c>
      <c r="L15" s="38">
        <v>2.54</v>
      </c>
      <c r="M15" s="38">
        <v>2.4900000000000002</v>
      </c>
      <c r="N15" s="38">
        <v>2.42</v>
      </c>
      <c r="O15" s="38">
        <v>2.33</v>
      </c>
      <c r="P15" s="38">
        <v>2.2400000000000002</v>
      </c>
      <c r="Q15" s="38">
        <v>2.16</v>
      </c>
      <c r="R15" s="38">
        <v>2.0699999999999998</v>
      </c>
      <c r="S15" s="38">
        <v>2.02</v>
      </c>
    </row>
    <row r="16" spans="3:24" ht="16.8" customHeight="1" x14ac:dyDescent="0.3">
      <c r="C16" s="38">
        <v>18</v>
      </c>
      <c r="D16" s="38">
        <v>4.41</v>
      </c>
      <c r="E16" s="38" t="s">
        <v>303</v>
      </c>
      <c r="F16" s="38">
        <v>3.16</v>
      </c>
      <c r="G16" s="38">
        <v>2.93</v>
      </c>
      <c r="H16" s="38">
        <v>2.77</v>
      </c>
      <c r="I16" s="38">
        <v>2.66</v>
      </c>
      <c r="J16" s="38">
        <v>2.56</v>
      </c>
      <c r="K16" s="38">
        <v>2.5099999999999998</v>
      </c>
      <c r="L16" s="38">
        <v>2.46</v>
      </c>
      <c r="M16" s="38">
        <v>2.41</v>
      </c>
      <c r="N16" s="38">
        <v>2.34</v>
      </c>
      <c r="O16" s="38">
        <v>2.25</v>
      </c>
      <c r="P16" s="38">
        <v>2.15</v>
      </c>
      <c r="Q16" s="38">
        <v>2.0699999999999998</v>
      </c>
      <c r="R16" s="38">
        <v>1.98</v>
      </c>
      <c r="S16" s="38">
        <v>1.92</v>
      </c>
    </row>
    <row r="17" spans="3:19" ht="16.8" customHeight="1" x14ac:dyDescent="0.3">
      <c r="C17" s="38">
        <v>20</v>
      </c>
      <c r="D17" s="38">
        <v>4.3499999999999996</v>
      </c>
      <c r="E17" s="38">
        <v>3.49</v>
      </c>
      <c r="F17" s="38">
        <v>3.1</v>
      </c>
      <c r="G17" s="38">
        <v>2.87</v>
      </c>
      <c r="H17" s="38">
        <v>2.71</v>
      </c>
      <c r="I17" s="38">
        <v>2.6</v>
      </c>
      <c r="J17" s="38">
        <v>2.5099999999999998</v>
      </c>
      <c r="K17" s="38">
        <v>2.4500000000000002</v>
      </c>
      <c r="L17" s="38">
        <v>2.39</v>
      </c>
      <c r="M17" s="38">
        <v>2.35</v>
      </c>
      <c r="N17" s="38">
        <v>2.31</v>
      </c>
      <c r="O17" s="38">
        <v>0</v>
      </c>
      <c r="P17" s="38">
        <v>2.08</v>
      </c>
      <c r="Q17" s="38">
        <v>1.99</v>
      </c>
      <c r="R17" s="38">
        <v>0</v>
      </c>
      <c r="S17" s="38"/>
    </row>
    <row r="18" spans="3:19" ht="16.8" customHeight="1" x14ac:dyDescent="0.3"/>
    <row r="19" spans="3:19" ht="16.8" customHeight="1" x14ac:dyDescent="0.3"/>
    <row r="20" spans="3:19" ht="16.8" customHeight="1" x14ac:dyDescent="0.3"/>
    <row r="21" spans="3:19" ht="16.8" customHeight="1" x14ac:dyDescent="0.3"/>
    <row r="22" spans="3:19" ht="16.8" customHeight="1" x14ac:dyDescent="0.3"/>
    <row r="23" spans="3:19" ht="16.8" customHeight="1" x14ac:dyDescent="0.3"/>
    <row r="24" spans="3:19" ht="16.8" customHeight="1" x14ac:dyDescent="0.3"/>
    <row r="25" spans="3:19" ht="16.8" customHeight="1" x14ac:dyDescent="0.3"/>
    <row r="26" spans="3:19" ht="16.8" customHeight="1" x14ac:dyDescent="0.3"/>
    <row r="27" spans="3:19" ht="16.8" customHeight="1" x14ac:dyDescent="0.3"/>
    <row r="28" spans="3:19" ht="16.8" customHeight="1" x14ac:dyDescent="0.3"/>
    <row r="29" spans="3:19" ht="16.8" customHeight="1" x14ac:dyDescent="0.3"/>
    <row r="30" spans="3:19" ht="16.8" customHeight="1" x14ac:dyDescent="0.3"/>
    <row r="31" spans="3:19" ht="16.8" customHeight="1" x14ac:dyDescent="0.3"/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3076" r:id="rId3">
          <objectPr defaultSize="0" autoPict="0" r:id="rId4">
            <anchor moveWithCells="1" sizeWithCells="1">
              <from>
                <xdr:col>18</xdr:col>
                <xdr:colOff>0</xdr:colOff>
                <xdr:row>1</xdr:row>
                <xdr:rowOff>0</xdr:rowOff>
              </from>
              <to>
                <xdr:col>18</xdr:col>
                <xdr:colOff>190500</xdr:colOff>
                <xdr:row>1</xdr:row>
                <xdr:rowOff>137160</xdr:rowOff>
              </to>
            </anchor>
          </objectPr>
        </oleObject>
      </mc:Choice>
      <mc:Fallback>
        <oleObject progId="Equation.3" shapeId="3076" r:id="rId3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80365-73FE-4E0A-AC4F-B3D078CC8892}">
  <sheetPr codeName="Лист3"/>
  <dimension ref="B1:O33"/>
  <sheetViews>
    <sheetView zoomScale="70" zoomScaleNormal="70" workbookViewId="0">
      <selection activeCell="L1" sqref="L1"/>
    </sheetView>
  </sheetViews>
  <sheetFormatPr defaultRowHeight="14.4" x14ac:dyDescent="0.3"/>
  <sheetData>
    <row r="1" spans="2:15" x14ac:dyDescent="0.3">
      <c r="M1" s="32" t="s">
        <v>259</v>
      </c>
      <c r="O1" s="32" t="s">
        <v>266</v>
      </c>
    </row>
    <row r="2" spans="2:15" ht="21" x14ac:dyDescent="0.3">
      <c r="B2" s="37" t="s">
        <v>259</v>
      </c>
      <c r="C2" s="36">
        <v>0.3</v>
      </c>
      <c r="D2" s="36">
        <v>0.2</v>
      </c>
      <c r="E2" s="36">
        <v>0.1</v>
      </c>
      <c r="F2" s="36">
        <v>0.05</v>
      </c>
      <c r="G2" s="36">
        <v>0.02</v>
      </c>
      <c r="H2" s="36">
        <v>0.01</v>
      </c>
      <c r="M2" s="32">
        <f>Sheet1!B11*(Sheet1!D11-1)</f>
        <v>20</v>
      </c>
      <c r="O2" s="32">
        <v>0.05</v>
      </c>
    </row>
    <row r="3" spans="2:15" ht="16.8" x14ac:dyDescent="0.3">
      <c r="B3" s="36">
        <v>1</v>
      </c>
      <c r="C3" s="36">
        <v>1.9630000000000001</v>
      </c>
      <c r="D3" s="36">
        <v>1.0780000000000001</v>
      </c>
      <c r="E3" s="36">
        <v>6.3140000000000001</v>
      </c>
      <c r="F3" s="36">
        <v>12.706</v>
      </c>
      <c r="G3" s="36">
        <v>31.821000000000002</v>
      </c>
      <c r="H3" s="36">
        <v>63.656999999999996</v>
      </c>
    </row>
    <row r="4" spans="2:15" ht="16.8" x14ac:dyDescent="0.3">
      <c r="B4" s="36">
        <v>2</v>
      </c>
      <c r="C4" s="36">
        <v>1.3859999999999999</v>
      </c>
      <c r="D4" s="36">
        <v>1.8859999999999999</v>
      </c>
      <c r="E4" s="36">
        <v>2.92</v>
      </c>
      <c r="F4" s="36">
        <v>4.3029999999999999</v>
      </c>
      <c r="G4" s="36">
        <v>6.9649999999999999</v>
      </c>
      <c r="H4" s="36">
        <v>9.9250000000000007</v>
      </c>
      <c r="N4" s="9">
        <v>2.0859999999999999</v>
      </c>
    </row>
    <row r="5" spans="2:15" ht="16.8" x14ac:dyDescent="0.3">
      <c r="B5" s="36">
        <v>3</v>
      </c>
      <c r="C5" s="36">
        <v>1.25</v>
      </c>
      <c r="D5" s="36">
        <v>1.6379999999999999</v>
      </c>
      <c r="E5" s="36">
        <v>2.3530000000000002</v>
      </c>
      <c r="F5" s="36">
        <v>3.1819999999999999</v>
      </c>
      <c r="G5" s="36">
        <v>4.5410000000000004</v>
      </c>
      <c r="H5" s="36">
        <v>5.8410000000000002</v>
      </c>
    </row>
    <row r="6" spans="2:15" ht="16.8" x14ac:dyDescent="0.3">
      <c r="B6" s="36">
        <v>4</v>
      </c>
      <c r="C6" s="36">
        <v>1.19</v>
      </c>
      <c r="D6" s="36">
        <v>1.5329999999999999</v>
      </c>
      <c r="E6" s="36">
        <v>2.1320000000000001</v>
      </c>
      <c r="F6" s="36">
        <v>2.7759999999999998</v>
      </c>
      <c r="G6" s="36">
        <v>3.7469999999999999</v>
      </c>
      <c r="H6" s="36">
        <v>4.6040000000000001</v>
      </c>
    </row>
    <row r="7" spans="2:15" ht="16.8" x14ac:dyDescent="0.3">
      <c r="B7" s="36">
        <v>5</v>
      </c>
      <c r="C7" s="36">
        <v>1.1559999999999999</v>
      </c>
      <c r="D7" s="36">
        <v>1.476</v>
      </c>
      <c r="E7" s="36">
        <v>2.0150000000000001</v>
      </c>
      <c r="F7" s="36">
        <v>2.5710000000000002</v>
      </c>
      <c r="G7" s="36">
        <v>3.3650000000000002</v>
      </c>
      <c r="H7" s="36">
        <v>4.032</v>
      </c>
    </row>
    <row r="8" spans="2:15" ht="16.8" x14ac:dyDescent="0.3">
      <c r="B8" s="36" t="s">
        <v>260</v>
      </c>
      <c r="C8" s="36">
        <v>1.1339999999999999</v>
      </c>
      <c r="D8" s="36">
        <v>1.44</v>
      </c>
      <c r="E8" s="36">
        <v>1.9430000000000001</v>
      </c>
      <c r="F8" s="36">
        <v>2.4470000000000001</v>
      </c>
      <c r="G8" s="36">
        <v>3.1429999999999998</v>
      </c>
      <c r="H8" s="36">
        <v>3.7069999999999999</v>
      </c>
    </row>
    <row r="9" spans="2:15" ht="16.8" x14ac:dyDescent="0.3">
      <c r="B9" s="36">
        <v>7</v>
      </c>
      <c r="C9" s="36">
        <v>1.119</v>
      </c>
      <c r="D9" s="36">
        <v>1.415</v>
      </c>
      <c r="E9" s="36">
        <v>1.895</v>
      </c>
      <c r="F9" s="36">
        <v>2.3650000000000002</v>
      </c>
      <c r="G9" s="36">
        <v>2.9980000000000002</v>
      </c>
      <c r="H9" s="36">
        <v>3.4990000000000001</v>
      </c>
    </row>
    <row r="10" spans="2:15" ht="16.8" x14ac:dyDescent="0.3">
      <c r="B10" s="36">
        <v>8</v>
      </c>
      <c r="C10" s="36">
        <v>1.1080000000000001</v>
      </c>
      <c r="D10" s="36">
        <v>1.397</v>
      </c>
      <c r="E10" s="36">
        <v>1.8</v>
      </c>
      <c r="F10" s="36">
        <v>2.306</v>
      </c>
      <c r="G10" s="36">
        <v>2.8959999999999999</v>
      </c>
      <c r="H10" s="36">
        <v>3.355</v>
      </c>
    </row>
    <row r="11" spans="2:15" ht="16.8" x14ac:dyDescent="0.3">
      <c r="B11" s="36">
        <v>9</v>
      </c>
      <c r="C11" s="36">
        <v>1.1000000000000001</v>
      </c>
      <c r="D11" s="36">
        <v>1.383</v>
      </c>
      <c r="E11" s="36">
        <v>1.833</v>
      </c>
      <c r="F11" s="36">
        <v>2.262</v>
      </c>
      <c r="G11" s="36">
        <v>2.8210000000000002</v>
      </c>
      <c r="H11" s="36">
        <v>3.25</v>
      </c>
    </row>
    <row r="12" spans="2:15" ht="16.8" x14ac:dyDescent="0.3">
      <c r="B12" s="36">
        <v>10</v>
      </c>
      <c r="C12" s="36">
        <v>1.093</v>
      </c>
      <c r="D12" s="36">
        <v>1.3720000000000001</v>
      </c>
      <c r="E12" s="36">
        <v>1.8120000000000001</v>
      </c>
      <c r="F12" s="36">
        <v>2.2280000000000002</v>
      </c>
      <c r="G12" s="36">
        <v>2.7639999999999998</v>
      </c>
      <c r="H12" s="36">
        <v>3.169</v>
      </c>
    </row>
    <row r="13" spans="2:15" ht="16.8" x14ac:dyDescent="0.3">
      <c r="B13" s="36">
        <v>11</v>
      </c>
      <c r="C13" s="36">
        <v>1.0880000000000001</v>
      </c>
      <c r="D13" s="36">
        <v>1.363</v>
      </c>
      <c r="E13" s="36">
        <v>1.796</v>
      </c>
      <c r="F13" s="36">
        <v>2.2010000000000001</v>
      </c>
      <c r="G13" s="36">
        <v>2.718</v>
      </c>
      <c r="H13" s="36">
        <v>3.1059999999999999</v>
      </c>
    </row>
    <row r="14" spans="2:15" ht="16.8" x14ac:dyDescent="0.3">
      <c r="B14" s="36">
        <v>12</v>
      </c>
      <c r="C14" s="36">
        <v>1.083</v>
      </c>
      <c r="D14" s="36">
        <v>1.3560000000000001</v>
      </c>
      <c r="E14" s="36">
        <v>1.782</v>
      </c>
      <c r="F14" s="36">
        <v>2.1789999999999998</v>
      </c>
      <c r="G14" s="36">
        <v>2.681</v>
      </c>
      <c r="H14" s="36">
        <v>3.0649999999999999</v>
      </c>
    </row>
    <row r="15" spans="2:15" ht="16.8" x14ac:dyDescent="0.3">
      <c r="B15" s="36">
        <v>13</v>
      </c>
      <c r="C15" s="36">
        <v>1.079</v>
      </c>
      <c r="D15" s="36">
        <v>1.35</v>
      </c>
      <c r="E15" s="36">
        <v>1.7709999999999999</v>
      </c>
      <c r="F15" s="36">
        <v>2.16</v>
      </c>
      <c r="G15" s="36">
        <v>2.65</v>
      </c>
      <c r="H15" s="36">
        <v>3.012</v>
      </c>
    </row>
    <row r="16" spans="2:15" ht="16.8" x14ac:dyDescent="0.3">
      <c r="B16" s="36">
        <v>14</v>
      </c>
      <c r="C16" s="36">
        <v>1.0760000000000001</v>
      </c>
      <c r="D16" s="36">
        <v>1.345</v>
      </c>
      <c r="E16" s="36">
        <v>1.7609999999999999</v>
      </c>
      <c r="F16" s="36">
        <v>2.145</v>
      </c>
      <c r="G16" s="36">
        <v>2.6240000000000001</v>
      </c>
      <c r="H16" s="36">
        <v>2.9769999999999999</v>
      </c>
    </row>
    <row r="17" spans="2:8" ht="16.8" x14ac:dyDescent="0.3">
      <c r="B17" s="36">
        <v>15</v>
      </c>
      <c r="C17" s="36">
        <v>1.0740000000000001</v>
      </c>
      <c r="D17" s="36">
        <v>1.341</v>
      </c>
      <c r="E17" s="36">
        <v>1.7529999999999999</v>
      </c>
      <c r="F17" s="36">
        <v>2.1309999999999998</v>
      </c>
      <c r="G17" s="36">
        <v>2.6019999999999999</v>
      </c>
      <c r="H17" s="36">
        <v>2.9470000000000001</v>
      </c>
    </row>
    <row r="18" spans="2:8" ht="16.8" x14ac:dyDescent="0.3">
      <c r="B18" s="36">
        <v>16</v>
      </c>
      <c r="C18" s="36">
        <v>1.071</v>
      </c>
      <c r="D18" s="36">
        <v>1.337</v>
      </c>
      <c r="E18" s="36">
        <v>1.746</v>
      </c>
      <c r="F18" s="36">
        <v>2.12</v>
      </c>
      <c r="G18" s="36">
        <v>2.5830000000000002</v>
      </c>
      <c r="H18" s="36">
        <v>2.9209999999999998</v>
      </c>
    </row>
    <row r="19" spans="2:8" ht="16.8" x14ac:dyDescent="0.3">
      <c r="B19" s="36">
        <v>17</v>
      </c>
      <c r="C19" s="36">
        <v>1.069</v>
      </c>
      <c r="D19" s="36">
        <v>1.333</v>
      </c>
      <c r="E19" s="36">
        <v>1.74</v>
      </c>
      <c r="F19" s="36">
        <v>2.11</v>
      </c>
      <c r="G19" s="36" t="s">
        <v>267</v>
      </c>
      <c r="H19" s="36">
        <v>2.8980000000000001</v>
      </c>
    </row>
    <row r="20" spans="2:8" ht="16.8" x14ac:dyDescent="0.3">
      <c r="B20" s="36">
        <v>18</v>
      </c>
      <c r="C20" s="36">
        <v>1.0669999999999999</v>
      </c>
      <c r="D20" s="36">
        <v>1.33</v>
      </c>
      <c r="E20" s="36">
        <v>1.734</v>
      </c>
      <c r="F20" s="36">
        <v>2.101</v>
      </c>
      <c r="G20" s="36">
        <v>2.552</v>
      </c>
      <c r="H20" s="36">
        <v>2.8780000000000001</v>
      </c>
    </row>
    <row r="21" spans="2:8" ht="16.8" x14ac:dyDescent="0.3">
      <c r="B21" s="36">
        <v>19</v>
      </c>
      <c r="C21" s="36">
        <v>1.0660000000000001</v>
      </c>
      <c r="D21" s="36">
        <v>1.3280000000000001</v>
      </c>
      <c r="E21" s="36">
        <v>1.7290000000000001</v>
      </c>
      <c r="F21" s="36">
        <v>2.093</v>
      </c>
      <c r="G21" s="36">
        <v>2.5390000000000001</v>
      </c>
      <c r="H21" s="36">
        <v>2.8610000000000002</v>
      </c>
    </row>
    <row r="22" spans="2:8" ht="16.8" x14ac:dyDescent="0.3">
      <c r="B22" s="36">
        <v>20</v>
      </c>
      <c r="C22" s="36">
        <v>1.0640000000000001</v>
      </c>
      <c r="D22" s="36">
        <v>1.325</v>
      </c>
      <c r="E22" s="36">
        <v>1.7250000000000001</v>
      </c>
      <c r="F22" s="36">
        <v>2.0859999999999999</v>
      </c>
      <c r="G22" s="36">
        <v>2.528</v>
      </c>
      <c r="H22" s="36">
        <v>2.8450000000000002</v>
      </c>
    </row>
    <row r="23" spans="2:8" ht="16.8" x14ac:dyDescent="0.3">
      <c r="B23" s="36">
        <v>21</v>
      </c>
      <c r="C23" s="36">
        <v>1.0629999999999999</v>
      </c>
      <c r="D23" s="36">
        <v>1.323</v>
      </c>
      <c r="E23" s="36">
        <v>1.7210000000000001</v>
      </c>
      <c r="F23" s="36">
        <v>2.08</v>
      </c>
      <c r="G23" s="36">
        <v>2.5179999999999998</v>
      </c>
      <c r="H23" s="36">
        <v>2.831</v>
      </c>
    </row>
    <row r="24" spans="2:8" ht="16.8" x14ac:dyDescent="0.3">
      <c r="B24" s="36">
        <v>22</v>
      </c>
      <c r="C24" s="36">
        <v>1.0609999999999999</v>
      </c>
      <c r="D24" s="36">
        <v>1.321</v>
      </c>
      <c r="E24" s="36">
        <v>1.7170000000000001</v>
      </c>
      <c r="F24" s="36">
        <v>2.0739999999999998</v>
      </c>
      <c r="G24" s="36">
        <v>2.508</v>
      </c>
      <c r="H24" s="36">
        <v>2.819</v>
      </c>
    </row>
    <row r="25" spans="2:8" ht="16.8" x14ac:dyDescent="0.3">
      <c r="B25" s="36">
        <v>23</v>
      </c>
      <c r="C25" s="36">
        <v>1.06</v>
      </c>
      <c r="D25" s="36">
        <v>1.319</v>
      </c>
      <c r="E25" s="36">
        <v>1.714</v>
      </c>
      <c r="F25" s="36">
        <v>2.069</v>
      </c>
      <c r="G25" s="36">
        <v>2.5</v>
      </c>
      <c r="H25" s="36">
        <v>2.8069999999999999</v>
      </c>
    </row>
    <row r="26" spans="2:8" ht="16.8" x14ac:dyDescent="0.3">
      <c r="B26" s="36">
        <v>24</v>
      </c>
      <c r="C26" s="36">
        <v>1.0589999999999999</v>
      </c>
      <c r="D26" s="36">
        <v>1.3180000000000001</v>
      </c>
      <c r="E26" s="36">
        <v>1.7110000000000001</v>
      </c>
      <c r="F26" s="36">
        <v>2.0640000000000001</v>
      </c>
      <c r="G26" s="36">
        <v>2.492</v>
      </c>
      <c r="H26" s="36">
        <v>2.7970000000000002</v>
      </c>
    </row>
    <row r="27" spans="2:8" ht="16.8" x14ac:dyDescent="0.3">
      <c r="B27" s="36">
        <v>25</v>
      </c>
      <c r="C27" s="36">
        <v>1.0580000000000001</v>
      </c>
      <c r="D27" s="36">
        <v>1.3160000000000001</v>
      </c>
      <c r="E27" s="36">
        <v>1.708</v>
      </c>
      <c r="F27" s="36">
        <v>2.06</v>
      </c>
      <c r="G27" s="36">
        <v>2.4849999999999999</v>
      </c>
      <c r="H27" s="36">
        <v>2.7869999999999999</v>
      </c>
    </row>
    <row r="28" spans="2:8" ht="16.8" x14ac:dyDescent="0.3">
      <c r="B28" s="36">
        <v>26</v>
      </c>
      <c r="C28" s="36">
        <v>1.0580000000000001</v>
      </c>
      <c r="D28" s="36">
        <v>1.3149999999999999</v>
      </c>
      <c r="E28" s="36">
        <v>1.706</v>
      </c>
      <c r="F28" s="36">
        <v>2.056</v>
      </c>
      <c r="G28" s="36">
        <v>2.4790000000000001</v>
      </c>
      <c r="H28" s="36">
        <v>2.7789999999999999</v>
      </c>
    </row>
    <row r="29" spans="2:8" ht="16.8" x14ac:dyDescent="0.3">
      <c r="B29" s="36">
        <v>27</v>
      </c>
      <c r="C29" s="36">
        <v>1.0569999999999999</v>
      </c>
      <c r="D29" s="36">
        <v>1.3140000000000001</v>
      </c>
      <c r="E29" s="36">
        <v>1.7030000000000001</v>
      </c>
      <c r="F29" s="36">
        <v>2.052</v>
      </c>
      <c r="G29" s="36">
        <v>2.4729999999999999</v>
      </c>
      <c r="H29" s="36">
        <v>2.7709999999999999</v>
      </c>
    </row>
    <row r="30" spans="2:8" ht="16.8" x14ac:dyDescent="0.3">
      <c r="B30" s="36">
        <v>28</v>
      </c>
      <c r="C30" s="36">
        <v>1.056</v>
      </c>
      <c r="D30" s="36">
        <v>1.3129999999999999</v>
      </c>
      <c r="E30" s="36">
        <v>1.7010000000000001</v>
      </c>
      <c r="F30" s="36">
        <v>2.048</v>
      </c>
      <c r="G30" s="36">
        <v>2.4670000000000001</v>
      </c>
      <c r="H30" s="36">
        <v>2.7629999999999999</v>
      </c>
    </row>
    <row r="31" spans="2:8" ht="16.8" x14ac:dyDescent="0.3">
      <c r="B31" s="36">
        <v>29</v>
      </c>
      <c r="C31" s="36">
        <v>1.0549999999999999</v>
      </c>
      <c r="D31" s="36">
        <v>1.3109999999999999</v>
      </c>
      <c r="E31" s="36">
        <v>1.6990000000000001</v>
      </c>
      <c r="F31" s="36">
        <v>2.0449999999999999</v>
      </c>
      <c r="G31" s="36">
        <v>2.4620000000000002</v>
      </c>
      <c r="H31" s="36">
        <v>2.7559999999999998</v>
      </c>
    </row>
    <row r="32" spans="2:8" ht="16.8" x14ac:dyDescent="0.3">
      <c r="B32" s="36">
        <v>30</v>
      </c>
      <c r="C32" s="36">
        <v>1.0549999999999999</v>
      </c>
      <c r="D32" s="36">
        <v>1.31</v>
      </c>
      <c r="E32" s="36">
        <v>1.6970000000000001</v>
      </c>
      <c r="F32" s="36">
        <v>2.0419999999999998</v>
      </c>
      <c r="G32" s="36">
        <v>2.4569999999999999</v>
      </c>
      <c r="H32" s="36">
        <v>2.75</v>
      </c>
    </row>
    <row r="33" spans="2:8" ht="16.8" x14ac:dyDescent="0.3">
      <c r="B33" s="36">
        <v>31</v>
      </c>
      <c r="C33" s="36">
        <v>1.0354300000000001</v>
      </c>
      <c r="D33" s="36">
        <v>1.28155</v>
      </c>
      <c r="E33" s="36">
        <v>1.6448499999999999</v>
      </c>
      <c r="F33" s="36">
        <v>1.9599599999999999</v>
      </c>
      <c r="G33" s="36">
        <v>2.3263400000000001</v>
      </c>
      <c r="H33" s="36">
        <v>2.5758200000000002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B22E-5A2A-42D0-A502-DDEDECC85545}">
  <sheetPr codeName="Лист2"/>
  <dimension ref="A3:U25"/>
  <sheetViews>
    <sheetView zoomScale="85" zoomScaleNormal="85" workbookViewId="0">
      <selection activeCell="T5" sqref="T5"/>
    </sheetView>
  </sheetViews>
  <sheetFormatPr defaultRowHeight="14.4" x14ac:dyDescent="0.3"/>
  <sheetData>
    <row r="3" spans="2:21" ht="16.8" customHeight="1" x14ac:dyDescent="0.3">
      <c r="B3" s="57" t="s">
        <v>255</v>
      </c>
      <c r="C3" s="56">
        <v>1</v>
      </c>
      <c r="D3" s="56">
        <v>2</v>
      </c>
      <c r="E3" s="56">
        <v>3</v>
      </c>
      <c r="F3" s="56">
        <v>4</v>
      </c>
      <c r="G3" s="56">
        <v>5</v>
      </c>
      <c r="H3" s="56">
        <v>6</v>
      </c>
      <c r="I3" s="56">
        <v>7</v>
      </c>
      <c r="J3" s="56">
        <v>8</v>
      </c>
      <c r="K3" s="56">
        <v>9</v>
      </c>
      <c r="L3" s="56">
        <v>10</v>
      </c>
      <c r="M3" s="56">
        <v>16</v>
      </c>
      <c r="N3" s="56">
        <v>36</v>
      </c>
      <c r="O3" s="56">
        <v>144</v>
      </c>
      <c r="P3" s="59"/>
      <c r="Q3" s="35"/>
      <c r="S3" s="32" t="s">
        <v>33</v>
      </c>
      <c r="U3" s="32" t="s">
        <v>34</v>
      </c>
    </row>
    <row r="4" spans="2:21" ht="16.8" customHeight="1" x14ac:dyDescent="0.3">
      <c r="B4" s="58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9"/>
      <c r="Q4" s="35"/>
      <c r="S4" s="32">
        <f>Sheet1!F11</f>
        <v>5</v>
      </c>
      <c r="U4" s="32">
        <f>Sheet1!H11</f>
        <v>4</v>
      </c>
    </row>
    <row r="5" spans="2:21" ht="16.8" x14ac:dyDescent="0.3">
      <c r="B5" s="36">
        <v>2</v>
      </c>
      <c r="C5" s="36" t="s">
        <v>37</v>
      </c>
      <c r="D5" s="36" t="s">
        <v>38</v>
      </c>
      <c r="E5" s="36" t="s">
        <v>39</v>
      </c>
      <c r="F5" s="36" t="s">
        <v>40</v>
      </c>
      <c r="G5" s="36" t="s">
        <v>41</v>
      </c>
      <c r="H5" s="36" t="s">
        <v>42</v>
      </c>
      <c r="I5" s="36" t="s">
        <v>43</v>
      </c>
      <c r="J5" s="36">
        <v>8159</v>
      </c>
      <c r="K5" s="36" t="s">
        <v>44</v>
      </c>
      <c r="L5" s="36" t="s">
        <v>45</v>
      </c>
      <c r="M5" s="36" t="s">
        <v>46</v>
      </c>
      <c r="N5" s="36" t="s">
        <v>47</v>
      </c>
      <c r="O5" s="36">
        <v>5813</v>
      </c>
      <c r="P5" s="36" t="s">
        <v>48</v>
      </c>
      <c r="Q5" s="35"/>
      <c r="T5" s="11">
        <v>0.54400000000000004</v>
      </c>
    </row>
    <row r="6" spans="2:21" ht="16.8" x14ac:dyDescent="0.3">
      <c r="B6" s="36">
        <v>3</v>
      </c>
      <c r="C6" s="36" t="s">
        <v>49</v>
      </c>
      <c r="D6" s="36" t="s">
        <v>50</v>
      </c>
      <c r="E6" s="36" t="s">
        <v>51</v>
      </c>
      <c r="F6" s="36" t="s">
        <v>52</v>
      </c>
      <c r="G6" s="36" t="s">
        <v>53</v>
      </c>
      <c r="H6" s="36" t="s">
        <v>54</v>
      </c>
      <c r="I6" s="36" t="s">
        <v>55</v>
      </c>
      <c r="J6" s="36" t="s">
        <v>56</v>
      </c>
      <c r="K6" s="36" t="s">
        <v>57</v>
      </c>
      <c r="L6" s="36" t="s">
        <v>58</v>
      </c>
      <c r="M6" s="36">
        <v>5466</v>
      </c>
      <c r="N6" s="36" t="s">
        <v>59</v>
      </c>
      <c r="O6" s="36" t="s">
        <v>60</v>
      </c>
      <c r="P6" s="36" t="s">
        <v>61</v>
      </c>
      <c r="Q6" s="35"/>
    </row>
    <row r="7" spans="2:21" ht="16.8" x14ac:dyDescent="0.3">
      <c r="B7" s="36">
        <v>4</v>
      </c>
      <c r="C7" s="36" t="s">
        <v>62</v>
      </c>
      <c r="D7" s="36" t="s">
        <v>63</v>
      </c>
      <c r="E7" s="36" t="s">
        <v>64</v>
      </c>
      <c r="F7" s="36" t="s">
        <v>65</v>
      </c>
      <c r="G7" s="36" t="s">
        <v>66</v>
      </c>
      <c r="H7" s="36" t="s">
        <v>67</v>
      </c>
      <c r="I7" s="36">
        <v>5365</v>
      </c>
      <c r="J7" s="36">
        <v>5175</v>
      </c>
      <c r="K7" s="36" t="s">
        <v>68</v>
      </c>
      <c r="L7" s="36" t="s">
        <v>69</v>
      </c>
      <c r="M7" s="36" t="s">
        <v>70</v>
      </c>
      <c r="N7" s="36" t="s">
        <v>71</v>
      </c>
      <c r="O7" s="36" t="s">
        <v>72</v>
      </c>
      <c r="P7" s="36" t="s">
        <v>73</v>
      </c>
      <c r="Q7" s="35"/>
    </row>
    <row r="8" spans="2:21" ht="16.8" x14ac:dyDescent="0.3">
      <c r="B8" s="36">
        <v>5</v>
      </c>
      <c r="C8" s="36" t="s">
        <v>74</v>
      </c>
      <c r="D8" s="36" t="s">
        <v>75</v>
      </c>
      <c r="E8" s="36" t="s">
        <v>76</v>
      </c>
      <c r="F8" s="36" t="s">
        <v>77</v>
      </c>
      <c r="G8" s="36" t="s">
        <v>78</v>
      </c>
      <c r="H8" s="36" t="s">
        <v>79</v>
      </c>
      <c r="I8" s="36" t="s">
        <v>80</v>
      </c>
      <c r="J8" s="36" t="s">
        <v>81</v>
      </c>
      <c r="K8" s="36" t="s">
        <v>82</v>
      </c>
      <c r="L8" s="36" t="s">
        <v>83</v>
      </c>
      <c r="M8" s="36" t="s">
        <v>84</v>
      </c>
      <c r="N8" s="36">
        <v>3066</v>
      </c>
      <c r="O8" s="36" t="s">
        <v>85</v>
      </c>
      <c r="P8" s="36" t="s">
        <v>86</v>
      </c>
      <c r="Q8" s="35"/>
    </row>
    <row r="9" spans="2:21" ht="16.8" x14ac:dyDescent="0.3">
      <c r="B9" s="36">
        <v>6</v>
      </c>
      <c r="C9" s="36" t="s">
        <v>87</v>
      </c>
      <c r="D9" s="36" t="s">
        <v>88</v>
      </c>
      <c r="E9" s="36" t="s">
        <v>89</v>
      </c>
      <c r="F9" s="36" t="s">
        <v>90</v>
      </c>
      <c r="G9" s="36" t="s">
        <v>91</v>
      </c>
      <c r="H9" s="36" t="s">
        <v>92</v>
      </c>
      <c r="I9" s="36" t="s">
        <v>93</v>
      </c>
      <c r="J9" s="36" t="s">
        <v>94</v>
      </c>
      <c r="K9" s="36" t="s">
        <v>95</v>
      </c>
      <c r="L9" s="36" t="s">
        <v>96</v>
      </c>
      <c r="M9" s="36">
        <v>3135</v>
      </c>
      <c r="N9" s="36" t="s">
        <v>97</v>
      </c>
      <c r="O9" s="36" t="s">
        <v>98</v>
      </c>
      <c r="P9" s="36" t="s">
        <v>99</v>
      </c>
      <c r="Q9" s="35"/>
    </row>
    <row r="10" spans="2:21" ht="16.8" x14ac:dyDescent="0.3">
      <c r="B10" s="36">
        <v>7</v>
      </c>
      <c r="C10" s="36" t="s">
        <v>100</v>
      </c>
      <c r="D10" s="36" t="s">
        <v>101</v>
      </c>
      <c r="E10" s="36" t="s">
        <v>102</v>
      </c>
      <c r="F10" s="36" t="s">
        <v>103</v>
      </c>
      <c r="G10" s="36" t="s">
        <v>104</v>
      </c>
      <c r="H10" s="36" t="s">
        <v>105</v>
      </c>
      <c r="I10" s="36">
        <v>3555</v>
      </c>
      <c r="J10" s="36" t="s">
        <v>106</v>
      </c>
      <c r="K10" s="36" t="s">
        <v>107</v>
      </c>
      <c r="L10" s="36" t="s">
        <v>108</v>
      </c>
      <c r="M10" s="36" t="s">
        <v>109</v>
      </c>
      <c r="N10" s="36" t="s">
        <v>110</v>
      </c>
      <c r="O10" s="36" t="s">
        <v>111</v>
      </c>
      <c r="P10" s="36" t="s">
        <v>112</v>
      </c>
      <c r="Q10" s="35"/>
    </row>
    <row r="11" spans="2:21" ht="16.8" x14ac:dyDescent="0.3">
      <c r="B11" s="36">
        <v>8</v>
      </c>
      <c r="C11" s="36" t="s">
        <v>113</v>
      </c>
      <c r="D11" s="36" t="s">
        <v>114</v>
      </c>
      <c r="E11" s="36" t="s">
        <v>115</v>
      </c>
      <c r="F11" s="36" t="s">
        <v>116</v>
      </c>
      <c r="G11" s="36" t="s">
        <v>117</v>
      </c>
      <c r="H11" s="36" t="s">
        <v>118</v>
      </c>
      <c r="I11" s="36">
        <v>3185</v>
      </c>
      <c r="J11" s="36" t="s">
        <v>119</v>
      </c>
      <c r="K11" s="36" t="s">
        <v>120</v>
      </c>
      <c r="L11" s="36" t="s">
        <v>121</v>
      </c>
      <c r="M11" s="36" t="s">
        <v>122</v>
      </c>
      <c r="N11" s="36">
        <v>2022</v>
      </c>
      <c r="O11" s="36" t="s">
        <v>123</v>
      </c>
      <c r="P11" s="36" t="s">
        <v>124</v>
      </c>
      <c r="Q11" s="35"/>
    </row>
    <row r="12" spans="2:21" ht="16.8" x14ac:dyDescent="0.3">
      <c r="B12" s="36">
        <v>9</v>
      </c>
      <c r="C12" s="36" t="s">
        <v>125</v>
      </c>
      <c r="D12" s="36" t="s">
        <v>126</v>
      </c>
      <c r="E12" s="36" t="s">
        <v>127</v>
      </c>
      <c r="F12" s="36" t="s">
        <v>128</v>
      </c>
      <c r="G12" s="36" t="s">
        <v>129</v>
      </c>
      <c r="H12" s="36" t="s">
        <v>130</v>
      </c>
      <c r="I12" s="36">
        <v>2901</v>
      </c>
      <c r="J12" s="36" t="s">
        <v>131</v>
      </c>
      <c r="K12" s="36" t="s">
        <v>132</v>
      </c>
      <c r="L12" s="36" t="s">
        <v>133</v>
      </c>
      <c r="M12" s="36" t="s">
        <v>134</v>
      </c>
      <c r="N12" s="36" t="s">
        <v>135</v>
      </c>
      <c r="O12" s="36" t="s">
        <v>136</v>
      </c>
      <c r="P12" s="36" t="s">
        <v>137</v>
      </c>
      <c r="Q12" s="35"/>
    </row>
    <row r="13" spans="2:21" ht="16.8" x14ac:dyDescent="0.3">
      <c r="B13" s="36">
        <v>10</v>
      </c>
      <c r="C13" s="36" t="s">
        <v>138</v>
      </c>
      <c r="D13" s="36" t="s">
        <v>139</v>
      </c>
      <c r="E13" s="36" t="s">
        <v>140</v>
      </c>
      <c r="F13" s="36" t="s">
        <v>141</v>
      </c>
      <c r="G13" s="36" t="s">
        <v>142</v>
      </c>
      <c r="H13" s="36" t="s">
        <v>143</v>
      </c>
      <c r="I13" s="36" t="s">
        <v>144</v>
      </c>
      <c r="J13" s="36">
        <v>2541</v>
      </c>
      <c r="K13" s="36" t="s">
        <v>145</v>
      </c>
      <c r="L13" s="36" t="s">
        <v>146</v>
      </c>
      <c r="M13" s="36">
        <v>2032</v>
      </c>
      <c r="N13" s="36" t="s">
        <v>147</v>
      </c>
      <c r="O13" s="36" t="s">
        <v>148</v>
      </c>
      <c r="P13" s="36">
        <v>2000</v>
      </c>
      <c r="Q13" s="35"/>
    </row>
    <row r="14" spans="2:21" ht="16.8" x14ac:dyDescent="0.3">
      <c r="B14" s="36">
        <v>12</v>
      </c>
      <c r="C14" s="36">
        <v>5410</v>
      </c>
      <c r="D14" s="36" t="s">
        <v>149</v>
      </c>
      <c r="E14" s="36" t="s">
        <v>150</v>
      </c>
      <c r="F14" s="36" t="s">
        <v>151</v>
      </c>
      <c r="G14" s="36" t="s">
        <v>152</v>
      </c>
      <c r="H14" s="36" t="s">
        <v>145</v>
      </c>
      <c r="I14" s="36" t="s">
        <v>153</v>
      </c>
      <c r="J14" s="36" t="s">
        <v>154</v>
      </c>
      <c r="K14" s="36" t="s">
        <v>155</v>
      </c>
      <c r="L14" s="36" t="s">
        <v>156</v>
      </c>
      <c r="M14" s="36" t="s">
        <v>157</v>
      </c>
      <c r="N14" s="36" t="s">
        <v>158</v>
      </c>
      <c r="O14" s="36" t="s">
        <v>159</v>
      </c>
      <c r="P14" s="36" t="s">
        <v>160</v>
      </c>
      <c r="Q14" s="35"/>
    </row>
    <row r="15" spans="2:21" ht="16.8" x14ac:dyDescent="0.3">
      <c r="B15" s="36">
        <v>15</v>
      </c>
      <c r="C15" s="36" t="s">
        <v>161</v>
      </c>
      <c r="D15" s="36" t="s">
        <v>162</v>
      </c>
      <c r="E15" s="36" t="s">
        <v>163</v>
      </c>
      <c r="F15" s="36" t="s">
        <v>164</v>
      </c>
      <c r="G15" s="36" t="s">
        <v>165</v>
      </c>
      <c r="H15" s="36" t="s">
        <v>166</v>
      </c>
      <c r="I15" s="36" t="s">
        <v>167</v>
      </c>
      <c r="J15" s="36" t="s">
        <v>168</v>
      </c>
      <c r="K15" s="36" t="s">
        <v>169</v>
      </c>
      <c r="L15" s="36" t="s">
        <v>170</v>
      </c>
      <c r="M15" s="36" t="s">
        <v>112</v>
      </c>
      <c r="N15" s="36" t="s">
        <v>171</v>
      </c>
      <c r="O15" s="36" t="s">
        <v>172</v>
      </c>
      <c r="P15" s="36" t="s">
        <v>173</v>
      </c>
      <c r="Q15" s="35"/>
    </row>
    <row r="16" spans="2:21" ht="16.8" x14ac:dyDescent="0.3">
      <c r="B16" s="36">
        <v>20</v>
      </c>
      <c r="C16" s="36" t="s">
        <v>174</v>
      </c>
      <c r="D16" s="36" t="s">
        <v>175</v>
      </c>
      <c r="E16" s="36" t="s">
        <v>176</v>
      </c>
      <c r="F16" s="36" t="s">
        <v>177</v>
      </c>
      <c r="G16" s="36" t="s">
        <v>178</v>
      </c>
      <c r="H16" s="36" t="s">
        <v>179</v>
      </c>
      <c r="I16" s="36" t="s">
        <v>180</v>
      </c>
      <c r="J16" s="36" t="s">
        <v>181</v>
      </c>
      <c r="K16" s="36" t="s">
        <v>182</v>
      </c>
      <c r="L16" s="36" t="s">
        <v>183</v>
      </c>
      <c r="M16" s="36" t="s">
        <v>184</v>
      </c>
      <c r="N16" s="36" t="s">
        <v>185</v>
      </c>
      <c r="O16" s="36" t="s">
        <v>186</v>
      </c>
      <c r="P16" s="36" t="s">
        <v>187</v>
      </c>
      <c r="Q16" s="35"/>
    </row>
    <row r="17" spans="1:17" ht="16.8" x14ac:dyDescent="0.3">
      <c r="B17" s="36">
        <v>24</v>
      </c>
      <c r="C17" s="36" t="s">
        <v>188</v>
      </c>
      <c r="D17" s="36">
        <v>2354</v>
      </c>
      <c r="E17" s="36" t="s">
        <v>189</v>
      </c>
      <c r="F17" s="36" t="s">
        <v>190</v>
      </c>
      <c r="G17" s="36" t="s">
        <v>191</v>
      </c>
      <c r="H17" s="36" t="s">
        <v>192</v>
      </c>
      <c r="I17" s="36" t="s">
        <v>193</v>
      </c>
      <c r="J17" s="36" t="s">
        <v>194</v>
      </c>
      <c r="K17" s="36" t="s">
        <v>195</v>
      </c>
      <c r="L17" s="36" t="s">
        <v>196</v>
      </c>
      <c r="M17" s="36" t="s">
        <v>197</v>
      </c>
      <c r="N17" s="36" t="s">
        <v>198</v>
      </c>
      <c r="O17" s="36" t="s">
        <v>199</v>
      </c>
      <c r="P17" s="36" t="s">
        <v>200</v>
      </c>
      <c r="Q17" s="35"/>
    </row>
    <row r="18" spans="1:17" ht="16.8" x14ac:dyDescent="0.3">
      <c r="B18" s="36">
        <v>30</v>
      </c>
      <c r="C18" s="36" t="s">
        <v>201</v>
      </c>
      <c r="D18" s="36" t="s">
        <v>202</v>
      </c>
      <c r="E18" s="36" t="s">
        <v>203</v>
      </c>
      <c r="F18" s="36">
        <v>1377</v>
      </c>
      <c r="G18" s="36" t="s">
        <v>204</v>
      </c>
      <c r="H18" s="36" t="s">
        <v>205</v>
      </c>
      <c r="I18" s="36" t="s">
        <v>206</v>
      </c>
      <c r="J18" s="36" t="s">
        <v>207</v>
      </c>
      <c r="K18" s="36" t="s">
        <v>208</v>
      </c>
      <c r="L18" s="36" t="s">
        <v>209</v>
      </c>
      <c r="M18" s="36" t="s">
        <v>210</v>
      </c>
      <c r="N18" s="36" t="s">
        <v>211</v>
      </c>
      <c r="O18" s="36" t="s">
        <v>212</v>
      </c>
      <c r="P18" s="36" t="s">
        <v>213</v>
      </c>
      <c r="Q18" s="35"/>
    </row>
    <row r="19" spans="1:17" ht="16.8" x14ac:dyDescent="0.3">
      <c r="B19" s="36">
        <v>40</v>
      </c>
      <c r="C19" s="36" t="s">
        <v>214</v>
      </c>
      <c r="D19" s="36" t="s">
        <v>215</v>
      </c>
      <c r="E19" s="36" t="s">
        <v>216</v>
      </c>
      <c r="F19" s="36" t="s">
        <v>217</v>
      </c>
      <c r="G19" s="36" t="s">
        <v>218</v>
      </c>
      <c r="H19" s="36" t="s">
        <v>219</v>
      </c>
      <c r="I19" s="36" t="s">
        <v>220</v>
      </c>
      <c r="J19" s="36" t="s">
        <v>221</v>
      </c>
      <c r="K19" s="36" t="s">
        <v>222</v>
      </c>
      <c r="L19" s="36" t="s">
        <v>223</v>
      </c>
      <c r="M19" s="36" t="s">
        <v>224</v>
      </c>
      <c r="N19" s="36" t="s">
        <v>225</v>
      </c>
      <c r="O19" s="36" t="s">
        <v>226</v>
      </c>
      <c r="P19" s="36" t="s">
        <v>227</v>
      </c>
      <c r="Q19" s="35"/>
    </row>
    <row r="20" spans="1:17" ht="16.8" x14ac:dyDescent="0.3">
      <c r="B20" s="36">
        <v>60</v>
      </c>
      <c r="C20" s="36" t="s">
        <v>157</v>
      </c>
      <c r="D20" s="36" t="s">
        <v>228</v>
      </c>
      <c r="E20" s="36" t="s">
        <v>229</v>
      </c>
      <c r="F20" s="36" t="s">
        <v>230</v>
      </c>
      <c r="G20" s="36" t="s">
        <v>231</v>
      </c>
      <c r="H20" s="36" t="s">
        <v>232</v>
      </c>
      <c r="I20" s="36" t="s">
        <v>233</v>
      </c>
      <c r="J20" s="36" t="s">
        <v>234</v>
      </c>
      <c r="K20" s="36" t="s">
        <v>235</v>
      </c>
      <c r="L20" s="36" t="s">
        <v>236</v>
      </c>
      <c r="M20" s="36" t="s">
        <v>237</v>
      </c>
      <c r="N20" s="36" t="s">
        <v>238</v>
      </c>
      <c r="O20" s="36" t="s">
        <v>239</v>
      </c>
      <c r="P20" s="36" t="s">
        <v>240</v>
      </c>
      <c r="Q20" s="35"/>
    </row>
    <row r="21" spans="1:17" ht="16.8" x14ac:dyDescent="0.3">
      <c r="B21" s="36">
        <v>120</v>
      </c>
      <c r="C21" s="36" t="s">
        <v>241</v>
      </c>
      <c r="D21" s="36" t="s">
        <v>242</v>
      </c>
      <c r="E21" s="36" t="s">
        <v>243</v>
      </c>
      <c r="F21" s="36" t="s">
        <v>244</v>
      </c>
      <c r="G21" s="36" t="s">
        <v>245</v>
      </c>
      <c r="H21" s="36" t="s">
        <v>246</v>
      </c>
      <c r="I21" s="36" t="s">
        <v>247</v>
      </c>
      <c r="J21" s="36" t="s">
        <v>248</v>
      </c>
      <c r="K21" s="36" t="s">
        <v>249</v>
      </c>
      <c r="L21" s="36" t="s">
        <v>250</v>
      </c>
      <c r="M21" s="36" t="s">
        <v>251</v>
      </c>
      <c r="N21" s="36" t="s">
        <v>252</v>
      </c>
      <c r="O21" s="36" t="s">
        <v>253</v>
      </c>
      <c r="P21" s="36" t="s">
        <v>254</v>
      </c>
      <c r="Q21" s="35"/>
    </row>
    <row r="22" spans="1:17" x14ac:dyDescent="0.3">
      <c r="B22" s="59"/>
      <c r="C22" s="56">
        <v>0</v>
      </c>
      <c r="D22" s="56">
        <v>0</v>
      </c>
      <c r="E22" s="56">
        <v>0</v>
      </c>
      <c r="F22" s="56">
        <v>0</v>
      </c>
      <c r="G22" s="56">
        <v>0</v>
      </c>
      <c r="H22" s="56">
        <v>0</v>
      </c>
      <c r="I22" s="56">
        <v>0</v>
      </c>
      <c r="J22" s="56">
        <v>0</v>
      </c>
      <c r="K22" s="56">
        <v>0</v>
      </c>
      <c r="L22" s="56">
        <v>0</v>
      </c>
      <c r="M22" s="56">
        <v>0</v>
      </c>
      <c r="N22" s="56">
        <v>0</v>
      </c>
      <c r="O22" s="56">
        <v>0</v>
      </c>
      <c r="P22" s="56">
        <v>0</v>
      </c>
      <c r="Q22" s="35"/>
    </row>
    <row r="23" spans="1:17" x14ac:dyDescent="0.3">
      <c r="B23" s="5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35"/>
    </row>
    <row r="24" spans="1:17" x14ac:dyDescent="0.3">
      <c r="Q24" s="35"/>
    </row>
    <row r="25" spans="1:17" x14ac:dyDescent="0.3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</row>
  </sheetData>
  <mergeCells count="30">
    <mergeCell ref="P22:P23"/>
    <mergeCell ref="B3:B4"/>
    <mergeCell ref="J22:J23"/>
    <mergeCell ref="K22:K23"/>
    <mergeCell ref="L22:L23"/>
    <mergeCell ref="M22:M23"/>
    <mergeCell ref="N22:N23"/>
    <mergeCell ref="O22:O23"/>
    <mergeCell ref="O3:O4"/>
    <mergeCell ref="P3:P4"/>
    <mergeCell ref="B22:B23"/>
    <mergeCell ref="C22:C23"/>
    <mergeCell ref="D22:D23"/>
    <mergeCell ref="E22:E23"/>
    <mergeCell ref="F22:F23"/>
    <mergeCell ref="G22:G23"/>
    <mergeCell ref="H22:H23"/>
    <mergeCell ref="I22:I23"/>
    <mergeCell ref="I3:I4"/>
    <mergeCell ref="J3:J4"/>
    <mergeCell ref="K3:K4"/>
    <mergeCell ref="L3:L4"/>
    <mergeCell ref="M3:M4"/>
    <mergeCell ref="N3:N4"/>
    <mergeCell ref="C3:C4"/>
    <mergeCell ref="D3:D4"/>
    <mergeCell ref="E3:E4"/>
    <mergeCell ref="F3:F4"/>
    <mergeCell ref="G3:G4"/>
    <mergeCell ref="H3:H4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2050" r:id="rId3">
          <objectPr defaultSize="0" autoPict="0" r:id="rId4">
            <anchor moveWithCells="1" sizeWithCells="1">
              <from>
                <xdr:col>15</xdr:col>
                <xdr:colOff>0</xdr:colOff>
                <xdr:row>2</xdr:row>
                <xdr:rowOff>0</xdr:rowOff>
              </from>
              <to>
                <xdr:col>15</xdr:col>
                <xdr:colOff>190500</xdr:colOff>
                <xdr:row>2</xdr:row>
                <xdr:rowOff>144780</xdr:rowOff>
              </to>
            </anchor>
          </objectPr>
        </oleObject>
      </mc:Choice>
      <mc:Fallback>
        <oleObject progId="Equation.3" shapeId="2050" r:id="rId3"/>
      </mc:Fallback>
    </mc:AlternateContent>
    <mc:AlternateContent xmlns:mc="http://schemas.openxmlformats.org/markup-compatibility/2006">
      <mc:Choice Requires="x14">
        <oleObject progId="Equation.3" shapeId="2049" r:id="rId5">
          <objectPr defaultSize="0" autoPict="0" r:id="rId4">
            <anchor moveWithCells="1" sizeWithCells="1">
              <from>
                <xdr:col>1</xdr:col>
                <xdr:colOff>0</xdr:colOff>
                <xdr:row>21</xdr:row>
                <xdr:rowOff>0</xdr:rowOff>
              </from>
              <to>
                <xdr:col>1</xdr:col>
                <xdr:colOff>190500</xdr:colOff>
                <xdr:row>21</xdr:row>
                <xdr:rowOff>144780</xdr:rowOff>
              </to>
            </anchor>
          </objectPr>
        </oleObject>
      </mc:Choice>
      <mc:Fallback>
        <oleObject progId="Equation.3" shapeId="2049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Sheet1</vt:lpstr>
      <vt:lpstr>Лист3</vt:lpstr>
      <vt:lpstr>Лист2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Васечко</dc:creator>
  <cp:lastModifiedBy>vasec</cp:lastModifiedBy>
  <dcterms:created xsi:type="dcterms:W3CDTF">2015-06-05T18:17:20Z</dcterms:created>
  <dcterms:modified xsi:type="dcterms:W3CDTF">2023-02-19T11:08:22Z</dcterms:modified>
</cp:coreProperties>
</file>